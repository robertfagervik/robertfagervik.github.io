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Cover" sheetId="1" state="visible" r:id="rId3"/>
    <sheet name="Transaction" sheetId="2" state="visible" r:id="rId4"/>
    <sheet name="Returns" sheetId="3" state="visible" r:id="rId5"/>
    <sheet name="Assumptions" sheetId="4" state="visible" r:id="rId6"/>
    <sheet name="Rent Roll" sheetId="5" state="visible" r:id="rId7"/>
    <sheet name="Valuation" sheetId="6" state="visible" r:id="rId8"/>
    <sheet name="Debt" sheetId="7" state="visible" r:id="rId9"/>
    <sheet name="P&amp;L" sheetId="8" state="visible" r:id="rId10"/>
    <sheet name="OutPut" sheetId="9" state="visible" r:id="rId11"/>
    <sheet name="Property Portfolio" sheetId="10" state="visible" r:id="rId12"/>
    <sheet name="Annual_report_2025" sheetId="11" state="visible" r:id="rId13"/>
    <sheet name="Financial statements_2026_Q2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Robert Fagervik:
</t>
        </r>
      </text>
    </comment>
  </commentList>
</comments>
</file>

<file path=xl/sharedStrings.xml><?xml version="1.0" encoding="utf-8"?>
<sst xmlns="http://schemas.openxmlformats.org/spreadsheetml/2006/main" count="535" uniqueCount="417">
  <si>
    <t xml:space="preserve">Key Metrics</t>
  </si>
  <si>
    <t xml:space="preserve">Portfolio Value NOKm</t>
  </si>
  <si>
    <t xml:space="preserve">EPRA NTA per share</t>
  </si>
  <si>
    <t xml:space="preserve">Current share price NOK</t>
  </si>
  <si>
    <t xml:space="preserve">Discount to NTA</t>
  </si>
  <si>
    <t xml:space="preserve">Total debt</t>
  </si>
  <si>
    <t xml:space="preserve">Loan to value</t>
  </si>
  <si>
    <t xml:space="preserve">Interest coverage raito</t>
  </si>
  <si>
    <t xml:space="preserve">Investment Thesis</t>
  </si>
  <si>
    <t xml:space="preserve">At a 30% control premium the portfolio is acquired below appraised value, with headroom to a 54.6% premium before that disappears. Debt is capped by interest coverage rather than by asset value, at roughly 39%. LTV against the 55% a lender would otherwise allow. The returns model shows the discount is not realised on exit, because a buyer prices off yield rather than off net asset vale. Exit yield is the assumption the case stands or falls on. </t>
  </si>
  <si>
    <t xml:space="preserve">Model Structure</t>
  </si>
  <si>
    <t xml:space="preserve">Assumptions: macro, rate curves, KPI indexation</t>
  </si>
  <si>
    <t xml:space="preserve">Rent Roll: segment-by-segment, Oslo reversion quantified</t>
  </si>
  <si>
    <t xml:space="preserve">P&amp;L: 2026E-2028E (H1 annualized, KPI growth)</t>
  </si>
  <si>
    <t xml:space="preserve">Debt: maturity ladder, interest expense, covenant metrics</t>
  </si>
  <si>
    <t xml:space="preserve">Transaction: offer pricing, NAV alignment, sources and uses, debt sizing, entry metrics</t>
  </si>
  <si>
    <t xml:space="preserve">Returns: levered cash flow, exit, IRR, leverage and exit yield sensitivities'</t>
  </si>
  <si>
    <t xml:space="preserve">Output: summary dashboard for quick reference</t>
  </si>
  <si>
    <t xml:space="preserve">Prepared By Robert</t>
  </si>
  <si>
    <t xml:space="preserve">28.08.2026</t>
  </si>
  <si>
    <t xml:space="preserve">Transaction Case</t>
  </si>
  <si>
    <t xml:space="preserve">Control Premium</t>
  </si>
  <si>
    <t xml:space="preserve">Offer Price Per share</t>
  </si>
  <si>
    <t xml:space="preserve">Entry enterprise value NOKm</t>
  </si>
  <si>
    <t xml:space="preserve">Entry EV to appraised value</t>
  </si>
  <si>
    <t xml:space="preserve">Binding debt test</t>
  </si>
  <si>
    <t xml:space="preserve">Binds</t>
  </si>
  <si>
    <t xml:space="preserve">Debt and entry NOKm</t>
  </si>
  <si>
    <t xml:space="preserve">Sponsor equity NOKm</t>
  </si>
  <si>
    <t xml:space="preserve">IRR, base case</t>
  </si>
  <si>
    <t xml:space="preserve">Equity Multiple, base case</t>
  </si>
  <si>
    <t xml:space="preserve">Model Conventions</t>
  </si>
  <si>
    <t xml:space="preserve">Convention</t>
  </si>
  <si>
    <t xml:space="preserve">Meaning</t>
  </si>
  <si>
    <t xml:space="preserve">Black Text</t>
  </si>
  <si>
    <t xml:space="preserve">Formula calculated on the same sheet</t>
  </si>
  <si>
    <t xml:space="preserve">Green text</t>
  </si>
  <si>
    <t xml:space="preserve">Link to another sheet in this workbook</t>
  </si>
  <si>
    <t xml:space="preserve">Gray italic</t>
  </si>
  <si>
    <t xml:space="preserve">source reference or note</t>
  </si>
  <si>
    <t xml:space="preserve">Primary sources: Entra Q2 2026 quarterly report, Entra FY2025 annual report, Norges Bank Monetary Policy Report 2/26, Yahoo Finance share price 18.08.2026. Every transaction and returns assumption is listed on the Assumptions tab with its basis.</t>
  </si>
  <si>
    <t xml:space="preserve">Entra Transaction Valuation</t>
  </si>
  <si>
    <t xml:space="preserve">Uses</t>
  </si>
  <si>
    <t xml:space="preserve">Offer price per share</t>
  </si>
  <si>
    <t xml:space="preserve">Deal Value</t>
  </si>
  <si>
    <t xml:space="preserve">Share price</t>
  </si>
  <si>
    <t xml:space="preserve">Equity Purchase Price</t>
  </si>
  <si>
    <t xml:space="preserve">Assumptions!E24, Yahoo Finance, 31.08.2026</t>
  </si>
  <si>
    <t xml:space="preserve">Premium</t>
  </si>
  <si>
    <t xml:space="preserve">Payment of Existing debt</t>
  </si>
  <si>
    <t xml:space="preserve">Assumptions!D35, model assumption</t>
  </si>
  <si>
    <t xml:space="preserve">Buy Price</t>
  </si>
  <si>
    <t xml:space="preserve">Assumptions</t>
  </si>
  <si>
    <t xml:space="preserve">Outstanding Shares (in Millions)</t>
  </si>
  <si>
    <t xml:space="preserve">Transaction costs at( 2%)</t>
  </si>
  <si>
    <t xml:space="preserve">Valuation Q2-26 block, Entra Q2 2026 report, key figures</t>
  </si>
  <si>
    <t xml:space="preserve">New Equity value (NOKm)</t>
  </si>
  <si>
    <t xml:space="preserve">Norwegian Document Duty</t>
  </si>
  <si>
    <t xml:space="preserve">Not Applicable</t>
  </si>
  <si>
    <t xml:space="preserve">Enterprise Metrics</t>
  </si>
  <si>
    <t xml:space="preserve">Current EV</t>
  </si>
  <si>
    <t xml:space="preserve">Total Acquisition Cost</t>
  </si>
  <si>
    <t xml:space="preserve">Total Uses</t>
  </si>
  <si>
    <t xml:space="preserve">Repayment Of debts</t>
  </si>
  <si>
    <t xml:space="preserve">Equity offering value</t>
  </si>
  <si>
    <t xml:space="preserve">Entry EV</t>
  </si>
  <si>
    <t xml:space="preserve">Sources</t>
  </si>
  <si>
    <t xml:space="preserve">Historical market value of Portfolio (NOKm)</t>
  </si>
  <si>
    <t xml:space="preserve">Q2-26</t>
  </si>
  <si>
    <t xml:space="preserve">Q1-26</t>
  </si>
  <si>
    <t xml:space="preserve">Q2-25</t>
  </si>
  <si>
    <t xml:space="preserve">FY2025</t>
  </si>
  <si>
    <t xml:space="preserve">FY2024</t>
  </si>
  <si>
    <t xml:space="preserve">Debt Tests</t>
  </si>
  <si>
    <t xml:space="preserve">Value</t>
  </si>
  <si>
    <t xml:space="preserve">LTV</t>
  </si>
  <si>
    <t xml:space="preserve">Entra Q2 2026 report, key figures market value of portfolio</t>
  </si>
  <si>
    <t xml:space="preserve">Debt Yield Test</t>
  </si>
  <si>
    <t xml:space="preserve">EPRA NRV</t>
  </si>
  <si>
    <t xml:space="preserve">ICR test</t>
  </si>
  <si>
    <t xml:space="preserve">EPRA NRV/Share</t>
  </si>
  <si>
    <t xml:space="preserve">Binding Test</t>
  </si>
  <si>
    <t xml:space="preserve">Alignment for Acquisition</t>
  </si>
  <si>
    <t xml:space="preserve">Discounts</t>
  </si>
  <si>
    <t xml:space="preserve">Ratios</t>
  </si>
  <si>
    <t xml:space="preserve">New Values</t>
  </si>
  <si>
    <t xml:space="preserve">Market to EPRA</t>
  </si>
  <si>
    <t xml:space="preserve">New Debt</t>
  </si>
  <si>
    <t xml:space="preserve">Divided: 1 minus price over NRV per share</t>
  </si>
  <si>
    <t xml:space="preserve">Offer price to EPRA</t>
  </si>
  <si>
    <t xml:space="preserve">Sponsor Equity</t>
  </si>
  <si>
    <t xml:space="preserve">EV to Portfolio Value</t>
  </si>
  <si>
    <t xml:space="preserve">Total Sources</t>
  </si>
  <si>
    <t xml:space="preserve">Maximum premium to appraised value</t>
  </si>
  <si>
    <t xml:space="preserve">Check (Sources Less Uses)</t>
  </si>
  <si>
    <t xml:space="preserve">Maximum Premium less Actual premium</t>
  </si>
  <si>
    <t xml:space="preserve">Entry Metrics</t>
  </si>
  <si>
    <t xml:space="preserve">Stabilised NOI (NOKm)</t>
  </si>
  <si>
    <t xml:space="preserve">Stabilised EBITDA (NOKm)</t>
  </si>
  <si>
    <t xml:space="preserve">Net initial yield on entry</t>
  </si>
  <si>
    <t xml:space="preserve">Price per sqm (NOK)</t>
  </si>
  <si>
    <t xml:space="preserve">Entry LTV</t>
  </si>
  <si>
    <t xml:space="preserve">Debt yield at entry</t>
  </si>
  <si>
    <t xml:space="preserve">Entry EV / EBITDA</t>
  </si>
  <si>
    <t xml:space="preserve">Sponsor equity (NOKm)</t>
  </si>
  <si>
    <t xml:space="preserve">Appraisal yield on portfolio</t>
  </si>
  <si>
    <t xml:space="preserve">Stabilised NOI over appraised value</t>
  </si>
  <si>
    <t xml:space="preserve">Returns</t>
  </si>
  <si>
    <t xml:space="preserve">Assumption</t>
  </si>
  <si>
    <t xml:space="preserve">Hold perid (Years)</t>
  </si>
  <si>
    <t xml:space="preserve">Entry net initial yield</t>
  </si>
  <si>
    <t xml:space="preserve">Exit yield</t>
  </si>
  <si>
    <t xml:space="preserve">Exit underwritten above entry. </t>
  </si>
  <si>
    <t xml:space="preserve">All-in cost of debt</t>
  </si>
  <si>
    <t xml:space="preserve">Cash tax rate</t>
  </si>
  <si>
    <t xml:space="preserve">Maintenance capex (NOK per sqm)</t>
  </si>
  <si>
    <t xml:space="preserve">Disposal Costs</t>
  </si>
  <si>
    <t xml:space="preserve">Debt at entry</t>
  </si>
  <si>
    <t xml:space="preserve">Levered Free Cash Flow to Equity</t>
  </si>
  <si>
    <t xml:space="preserve">NOKm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</si>
  <si>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</si>
  <si>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</si>
  <si>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</si>
  <si>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</si>
  <si>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</si>
  <si>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</si>
  <si>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KPI Indexation</t>
  </si>
  <si>
    <t xml:space="preserve">Net operating income</t>
  </si>
  <si>
    <t xml:space="preserve">Administration costs</t>
  </si>
  <si>
    <t xml:space="preserve">EBITDA</t>
  </si>
  <si>
    <t xml:space="preserve">Cash Interest</t>
  </si>
  <si>
    <t xml:space="preserve">Interest held flat. Refinancing risk seperate scenario</t>
  </si>
  <si>
    <t xml:space="preserve">Maintenance Capex</t>
  </si>
  <si>
    <t xml:space="preserve">Cash Tax</t>
  </si>
  <si>
    <t xml:space="preserve">Principal Amortisation</t>
  </si>
  <si>
    <t xml:space="preserve">Levered free cash flow to Equity</t>
  </si>
  <si>
    <t xml:space="preserve">Exit</t>
  </si>
  <si>
    <t xml:space="preserve">Stabilised NOI at exit</t>
  </si>
  <si>
    <t xml:space="preserve">Gross exit value</t>
  </si>
  <si>
    <t xml:space="preserve">Disposal costs</t>
  </si>
  <si>
    <t xml:space="preserve">Debt outstanding at exit</t>
  </si>
  <si>
    <t xml:space="preserve">Net exit proceeds to equity</t>
  </si>
  <si>
    <t xml:space="preserve">Equity Cash Flow and Returns</t>
  </si>
  <si>
    <t xml:space="preserve">Equity cash flow</t>
  </si>
  <si>
    <t xml:space="preserve">IRR</t>
  </si>
  <si>
    <t xml:space="preserve">Equity Multiple</t>
  </si>
  <si>
    <t xml:space="preserve">Cash-on-Cash, year1</t>
  </si>
  <si>
    <t xml:space="preserve">Leverage Sensitivity</t>
  </si>
  <si>
    <t xml:space="preserve">Nokm</t>
  </si>
  <si>
    <t xml:space="preserve">Binding (ICR)</t>
  </si>
  <si>
    <t xml:space="preserve">Moderate</t>
  </si>
  <si>
    <t xml:space="preserve">Low</t>
  </si>
  <si>
    <t xml:space="preserve">Debt at Entry</t>
  </si>
  <si>
    <t xml:space="preserve">Sponsor equity</t>
  </si>
  <si>
    <t xml:space="preserve">EntryLTV</t>
  </si>
  <si>
    <t xml:space="preserve">Annual cash interest</t>
  </si>
  <si>
    <t xml:space="preserve">Equity cash flow, year 0</t>
  </si>
  <si>
    <t xml:space="preserve">Year 5 including exit</t>
  </si>
  <si>
    <t xml:space="preserve">   </t>
  </si>
  <si>
    <t xml:space="preserve">If IRR rises as debt falls, the cost of debt exceeds the asset yield and leverage is destroying equity value</t>
  </si>
  <si>
    <t xml:space="preserve">Exit Yield Sensitivity</t>
  </si>
  <si>
    <t xml:space="preserve">Appraisal Basis</t>
  </si>
  <si>
    <t xml:space="preserve">Base Case</t>
  </si>
  <si>
    <t xml:space="preserve">Yield expansion</t>
  </si>
  <si>
    <t xml:space="preserve">Appraisal basis exits at the yield implied by Entra's own valuation. Base case exits at the offer price and is punitive because it was bought at a discount</t>
  </si>
  <si>
    <t xml:space="preserve">Exit yield moves IRR more than leverage. </t>
  </si>
  <si>
    <t xml:space="preserve">Coverage Through the Hold</t>
  </si>
  <si>
    <t xml:space="preserve">Ratio</t>
  </si>
  <si>
    <t xml:space="preserve">ICR</t>
  </si>
  <si>
    <t xml:space="preserve">DSCR</t>
  </si>
  <si>
    <t xml:space="preserve">Minimum ICR covenant</t>
  </si>
  <si>
    <t xml:space="preserve">Headroom to covenant</t>
  </si>
  <si>
    <t xml:space="preserve">Covenant Check</t>
  </si>
  <si>
    <t xml:space="preserve">Fail</t>
  </si>
  <si>
    <t xml:space="preserve">.</t>
  </si>
  <si>
    <t xml:space="preserve">Norges Bank Policy rate_Q2_2026</t>
  </si>
  <si>
    <t xml:space="preserve">NIBOR forward curve</t>
  </si>
  <si>
    <t xml:space="preserve">KPI indexation 2027E</t>
  </si>
  <si>
    <t xml:space="preserve">KPI indexation 2028E</t>
  </si>
  <si>
    <t xml:space="preserve">KPI's</t>
  </si>
  <si>
    <t xml:space="preserve">2026A</t>
  </si>
  <si>
    <t xml:space="preserve">2027E</t>
  </si>
  <si>
    <t xml:space="preserve">2028E</t>
  </si>
  <si>
    <t xml:space="preserve">Policy rate (Year-end)</t>
  </si>
  <si>
    <t xml:space="preserve">Money Market spread</t>
  </si>
  <si>
    <t xml:space="preserve">3M NIBOR</t>
  </si>
  <si>
    <t xml:space="preserve">Credit Margin</t>
  </si>
  <si>
    <t xml:space="preserve">All-in floating cost</t>
  </si>
  <si>
    <t xml:space="preserve">KPI Annual averages</t>
  </si>
  <si>
    <t xml:space="preserve">KPI Indexation applied 1 Jan</t>
  </si>
  <si>
    <t xml:space="preserve">https://www.norges-bank.no/contentassets/c1ae1dbac64d43c898f234aa2744eb4b/mpr-2-26.pdf?v=19062026160250</t>
  </si>
  <si>
    <t xml:space="preserve">3M NIBOR (avg)</t>
  </si>
  <si>
    <t xml:space="preserve">KPI, annual avg</t>
  </si>
  <si>
    <t xml:space="preserve">KPI indexation applied 1 Jan</t>
  </si>
  <si>
    <t xml:space="preserve">https://uk.finance.yahoo.com/quote/ENTRA.OL/</t>
  </si>
  <si>
    <t xml:space="preserve">Share price Entra 18.08.2026/NOK</t>
  </si>
  <si>
    <t xml:space="preserve">TENOR</t>
  </si>
  <si>
    <t xml:space="preserve">NIBOR</t>
  </si>
  <si>
    <t xml:space="preserve">Gap to policy rate</t>
  </si>
  <si>
    <t xml:space="preserve">1 week</t>
  </si>
  <si>
    <t xml:space="preserve">1 month</t>
  </si>
  <si>
    <t xml:space="preserve">2 months</t>
  </si>
  <si>
    <t xml:space="preserve">3 months</t>
  </si>
  <si>
    <t xml:space="preserve">6 months</t>
  </si>
  <si>
    <t xml:space="preserve">Transaction Assumptions</t>
  </si>
  <si>
    <t xml:space="preserve">Input</t>
  </si>
  <si>
    <t xml:space="preserve">Basis</t>
  </si>
  <si>
    <t xml:space="preserve">Control premium</t>
  </si>
  <si>
    <t xml:space="preserve">Target LTV</t>
  </si>
  <si>
    <t xml:space="preserve">Minimum debt Yield</t>
  </si>
  <si>
    <t xml:space="preserve">Transaction Cost</t>
  </si>
  <si>
    <t xml:space="preserve">Norwegian document duty</t>
  </si>
  <si>
    <t xml:space="preserve">Hold period</t>
  </si>
  <si>
    <t xml:space="preserve">Exit yield Premium to entry</t>
  </si>
  <si>
    <t xml:space="preserve">Disposal costs (% of gross sale)</t>
  </si>
  <si>
    <t xml:space="preserve">Operating Cost Split</t>
  </si>
  <si>
    <t xml:space="preserve">Insurance, share of tax/leasehold/insurance</t>
  </si>
  <si>
    <t xml:space="preserve">Utilities, share of direct property costs</t>
  </si>
  <si>
    <t xml:space="preserve">Depreciation on investment property</t>
  </si>
  <si>
    <t xml:space="preserve">Rent Per Sqm Reference (from Rent Roll)</t>
  </si>
  <si>
    <t xml:space="preserve">Metric</t>
  </si>
  <si>
    <t xml:space="preserve">Oslo</t>
  </si>
  <si>
    <t xml:space="preserve">Portfolio</t>
  </si>
  <si>
    <t xml:space="preserve">Source</t>
  </si>
  <si>
    <t xml:space="preserve">Passing rent per sqm (NOK 000)</t>
  </si>
  <si>
    <t xml:space="preserve">Market rent per sqm (NOK 000)</t>
  </si>
  <si>
    <t xml:space="preserve">Reversion</t>
  </si>
  <si>
    <t xml:space="preserve">Operating cost per sqm (NOK)</t>
  </si>
  <si>
    <t xml:space="preserve">Rent Roll</t>
  </si>
  <si>
    <t xml:space="preserve">Segment</t>
  </si>
  <si>
    <t xml:space="preserve">Bergen/Stavanger</t>
  </si>
  <si>
    <t xml:space="preserve">Sandvika</t>
  </si>
  <si>
    <t xml:space="preserve">Drammen</t>
  </si>
  <si>
    <t xml:space="preserve">Total</t>
  </si>
  <si>
    <t xml:space="preserve">Properties (#)</t>
  </si>
  <si>
    <t xml:space="preserve">Area (sqm)</t>
  </si>
  <si>
    <t xml:space="preserve">Occupancy (%)</t>
  </si>
  <si>
    <t xml:space="preserve">WAULT</t>
  </si>
  <si>
    <t xml:space="preserve">Market value (NOKm)</t>
  </si>
  <si>
    <t xml:space="preserve">Passing rent (NOKm)</t>
  </si>
  <si>
    <t xml:space="preserve">Market rent (NOKm)</t>
  </si>
  <si>
    <t xml:space="preserve">Derived</t>
  </si>
  <si>
    <t xml:space="preserve">Value per Sqm</t>
  </si>
  <si>
    <t xml:space="preserve">Passing rent per sqm</t>
  </si>
  <si>
    <t xml:space="preserve">Market rent per sqm</t>
  </si>
  <si>
    <t xml:space="preserve">Net Yield (%)</t>
  </si>
  <si>
    <t xml:space="preserve">Reversion (%)</t>
  </si>
  <si>
    <t xml:space="preserve">Operating Cost ratio (from P&amp;L)</t>
  </si>
  <si>
    <t xml:space="preserve">Stabilised NOI for Debt Sizing</t>
  </si>
  <si>
    <t xml:space="preserve">Line</t>
  </si>
  <si>
    <t xml:space="preserve">Note</t>
  </si>
  <si>
    <t xml:space="preserve">Total Passing rent</t>
  </si>
  <si>
    <t xml:space="preserve">Rent roll covers the management portfolio only, ties to Valuation!H9</t>
  </si>
  <si>
    <t xml:space="preserve">Less Annualised operating costs</t>
  </si>
  <si>
    <t xml:space="preserve">Q2-26 Operating costs annualised</t>
  </si>
  <si>
    <t xml:space="preserve">Stabilised NOI  </t>
  </si>
  <si>
    <t xml:space="preserve">Less: annualised administrative costs</t>
  </si>
  <si>
    <t xml:space="preserve">Q2-26 administrative costs annualised</t>
  </si>
  <si>
    <t xml:space="preserve">Stabilised EBITDA</t>
  </si>
  <si>
    <t xml:space="preserve"> reported NOI, Q2-26 annualised</t>
  </si>
  <si>
    <t xml:space="preserve">Variance to rent roll basis</t>
  </si>
  <si>
    <t xml:space="preserve">Variance %</t>
  </si>
  <si>
    <t xml:space="preserve">NOI and Yield by City</t>
  </si>
  <si>
    <t xml:space="preserve">Passing rent</t>
  </si>
  <si>
    <t xml:space="preserve">Share portfolio area</t>
  </si>
  <si>
    <t xml:space="preserve">Allocated operating costs</t>
  </si>
  <si>
    <t xml:space="preserve">City NOI (NOKm)</t>
  </si>
  <si>
    <t xml:space="preserve">Operating cost per sqm</t>
  </si>
  <si>
    <t xml:space="preserve">NOI margin</t>
  </si>
  <si>
    <t xml:space="preserve">Net initial yield on value</t>
  </si>
  <si>
    <t xml:space="preserve">Share of portfolio NOI</t>
  </si>
  <si>
    <t xml:space="preserve">Check: total city NOI against stabilised NOI</t>
  </si>
  <si>
    <t xml:space="preserve">Valuation</t>
  </si>
  <si>
    <t xml:space="preserve">Column1</t>
  </si>
  <si>
    <t xml:space="preserve">Management Portfolio NOKm</t>
  </si>
  <si>
    <t xml:space="preserve">Project Portfolio NOKm</t>
  </si>
  <si>
    <t xml:space="preserve">Development Sites NOKm</t>
  </si>
  <si>
    <t xml:space="preserve">Total Property Portfolio NOKm</t>
  </si>
  <si>
    <t xml:space="preserve">Net debt</t>
  </si>
  <si>
    <t xml:space="preserve">Net nominal interest bearin debt NOKm</t>
  </si>
  <si>
    <t xml:space="preserve">Equity Bridge</t>
  </si>
  <si>
    <t xml:space="preserve">IFRS equity NOKm</t>
  </si>
  <si>
    <t xml:space="preserve">revaluation of investments made in JVs NOKm</t>
  </si>
  <si>
    <t xml:space="preserve">Deferred tax properties NOKm</t>
  </si>
  <si>
    <t xml:space="preserve">net fair value of finanial derivatives NOKm</t>
  </si>
  <si>
    <t xml:space="preserve">EPRA NRV NOKm</t>
  </si>
  <si>
    <t xml:space="preserve">EPRA/Shares</t>
  </si>
  <si>
    <t xml:space="preserve">Shares outstanding(In millions) </t>
  </si>
  <si>
    <t xml:space="preserve">Difference</t>
  </si>
  <si>
    <t xml:space="preserve">EPRA NTA per share NOKm</t>
  </si>
  <si>
    <t xml:space="preserve">Checks</t>
  </si>
  <si>
    <t xml:space="preserve">Reported EPRA NTA/Share</t>
  </si>
  <si>
    <t xml:space="preserve">Q2-26 Position</t>
  </si>
  <si>
    <t xml:space="preserve">Total Property Portfolio</t>
  </si>
  <si>
    <t xml:space="preserve">Net Nominal Interest bearing debt</t>
  </si>
  <si>
    <t xml:space="preserve">Shares Outstanding (millions)</t>
  </si>
  <si>
    <t xml:space="preserve">EPRA NRV per share (reported)</t>
  </si>
  <si>
    <t xml:space="preserve">EPRA NTA per share (reported)</t>
  </si>
  <si>
    <t xml:space="preserve">EPRA NRV (NOKm)</t>
  </si>
  <si>
    <t xml:space="preserve">Source: Entra Q2 2026 report, key figures table</t>
  </si>
  <si>
    <t xml:space="preserve">Position at FY25A</t>
  </si>
  <si>
    <t xml:space="preserve">Fixed rate debt</t>
  </si>
  <si>
    <t xml:space="preserve">Floating debt</t>
  </si>
  <si>
    <t xml:space="preserve">Hedge ratio</t>
  </si>
  <si>
    <t xml:space="preserve">Avg fixed rate</t>
  </si>
  <si>
    <t xml:space="preserve">Avg credit margin</t>
  </si>
  <si>
    <t xml:space="preserve">Fixed rate maturity ladder</t>
  </si>
  <si>
    <t xml:space="preserve">Column2</t>
  </si>
  <si>
    <t xml:space="preserve">Bucket</t>
  </si>
  <si>
    <t xml:space="preserve">Amount (NOKm)</t>
  </si>
  <si>
    <t xml:space="preserve">Interest rate</t>
  </si>
  <si>
    <t xml:space="preserve">&lt;1 year</t>
  </si>
  <si>
    <t xml:space="preserve">1-2 years</t>
  </si>
  <si>
    <t xml:space="preserve">2-3 years</t>
  </si>
  <si>
    <t xml:space="preserve">3-4 years</t>
  </si>
  <si>
    <t xml:space="preserve">4-5 years</t>
  </si>
  <si>
    <t xml:space="preserve">5-6 years</t>
  </si>
  <si>
    <t xml:space="preserve">6-7 years</t>
  </si>
  <si>
    <t xml:space="preserve">7-8 years</t>
  </si>
  <si>
    <t xml:space="preserve">Datapoint</t>
  </si>
  <si>
    <t xml:space="preserve">2026E</t>
  </si>
  <si>
    <t xml:space="preserve">2029E</t>
  </si>
  <si>
    <t xml:space="preserve">Opening fixed debt NOKm</t>
  </si>
  <si>
    <t xml:space="preserve">Less maturing debt NOKm</t>
  </si>
  <si>
    <t xml:space="preserve">Closing fixed NOKm</t>
  </si>
  <si>
    <t xml:space="preserve">Weighted avg fixed rate</t>
  </si>
  <si>
    <t xml:space="preserve">Floating debt NOKm</t>
  </si>
  <si>
    <t xml:space="preserve">Floating Interest expense NOKm</t>
  </si>
  <si>
    <t xml:space="preserve">Fixed Interest Expense NOKm</t>
  </si>
  <si>
    <t xml:space="preserve">Total Interest Expense NOKm</t>
  </si>
  <si>
    <t xml:space="preserve">ICR on stabilised EBITDA</t>
  </si>
  <si>
    <t xml:space="preserve">Covenant checks</t>
  </si>
  <si>
    <t xml:space="preserve">P&amp;L</t>
  </si>
  <si>
    <t xml:space="preserve">All amounts in NOK million</t>
  </si>
  <si>
    <t xml:space="preserve">Q1-26 to Q2-26</t>
  </si>
  <si>
    <t xml:space="preserve">Q2-25 to Q2-26</t>
  </si>
  <si>
    <t xml:space="preserve">YTD Q2-25 to YTD Q2-26</t>
  </si>
  <si>
    <t xml:space="preserve">Rental Income Previous Period</t>
  </si>
  <si>
    <t xml:space="preserve">Finalised development projects</t>
  </si>
  <si>
    <t xml:space="preserve">Vacated properties for Redevelopment</t>
  </si>
  <si>
    <t xml:space="preserve">Acquisitions</t>
  </si>
  <si>
    <t xml:space="preserve">Divestments</t>
  </si>
  <si>
    <t xml:space="preserve">CPI growth</t>
  </si>
  <si>
    <t xml:space="preserve">Like-for-like growth above CPI</t>
  </si>
  <si>
    <t xml:space="preserve">Other</t>
  </si>
  <si>
    <t xml:space="preserve">Rental Income</t>
  </si>
  <si>
    <t xml:space="preserve">Operating Costs</t>
  </si>
  <si>
    <t xml:space="preserve">YTD Q2-26</t>
  </si>
  <si>
    <t xml:space="preserve">YTD Q2-25</t>
  </si>
  <si>
    <t xml:space="preserve">Maintenance</t>
  </si>
  <si>
    <t xml:space="preserve">Tax, leasehold, Insurance</t>
  </si>
  <si>
    <t xml:space="preserve">Letting and prop admin</t>
  </si>
  <si>
    <t xml:space="preserve">Direct property costs</t>
  </si>
  <si>
    <t xml:space="preserve">Operating costs</t>
  </si>
  <si>
    <t xml:space="preserve">Interest expense &amp; Covenant</t>
  </si>
  <si>
    <t xml:space="preserve">Less: Operating costs</t>
  </si>
  <si>
    <t xml:space="preserve">NOI</t>
  </si>
  <si>
    <t xml:space="preserve">NOI Margin</t>
  </si>
  <si>
    <t xml:space="preserve">Less Administrative costs</t>
  </si>
  <si>
    <t xml:space="preserve">Direct EBITDA</t>
  </si>
  <si>
    <t xml:space="preserve">Direct EBITDA Margin</t>
  </si>
  <si>
    <t xml:space="preserve">Interest and DSCR</t>
  </si>
  <si>
    <t xml:space="preserve">Interest cost</t>
  </si>
  <si>
    <t xml:space="preserve">Commitment fees</t>
  </si>
  <si>
    <t xml:space="preserve">Applicable interest cost</t>
  </si>
  <si>
    <t xml:space="preserve">Principal repayments are zero</t>
  </si>
  <si>
    <t xml:space="preserve">Operating Cost Breakdown (annualised)</t>
  </si>
  <si>
    <t xml:space="preserve">Cost line</t>
  </si>
  <si>
    <t xml:space="preserve">NOKm p.a.</t>
  </si>
  <si>
    <t xml:space="preserve">NOK/sqm</t>
  </si>
  <si>
    <t xml:space="preserve">Property tax and leasehold</t>
  </si>
  <si>
    <t xml:space="preserve">Insurance</t>
  </si>
  <si>
    <t xml:space="preserve">Letting and property administration</t>
  </si>
  <si>
    <t xml:space="preserve">Utilities, non-recoverable</t>
  </si>
  <si>
    <t xml:space="preserve">Other direct property costs</t>
  </si>
  <si>
    <t xml:space="preserve">Total operating costs </t>
  </si>
  <si>
    <t xml:space="preserve">ENTRA ASA FINANCIAL MODEL SUMMARY</t>
  </si>
  <si>
    <t xml:space="preserve">Column3</t>
  </si>
  <si>
    <t xml:space="preserve">Column4</t>
  </si>
  <si>
    <t xml:space="preserve">1. VALUATION</t>
  </si>
  <si>
    <t xml:space="preserve">Portfolio Value per sqm</t>
  </si>
  <si>
    <t xml:space="preserve">Net Debt</t>
  </si>
  <si>
    <t xml:space="preserve">NOK/share</t>
  </si>
  <si>
    <t xml:space="preserve">2. RENTAL PROFILE</t>
  </si>
  <si>
    <t xml:space="preserve">Total passing rent</t>
  </si>
  <si>
    <t xml:space="preserve">Total market rent</t>
  </si>
  <si>
    <t xml:space="preserve">Portfolio reversion potential</t>
  </si>
  <si>
    <t xml:space="preserve">%</t>
  </si>
  <si>
    <t xml:space="preserve">Oslo market rent per sqm</t>
  </si>
  <si>
    <t xml:space="preserve">Oslo passing rent per sqm</t>
  </si>
  <si>
    <t xml:space="preserve">Oslo reversion gap</t>
  </si>
  <si>
    <t xml:space="preserve">3. DEBT &amp; INTEREST</t>
  </si>
  <si>
    <t xml:space="preserve">Total Debt</t>
  </si>
  <si>
    <t xml:space="preserve">  Fixed debt</t>
  </si>
  <si>
    <t xml:space="preserve">  Floating debt</t>
  </si>
  <si>
    <t xml:space="preserve">Loan-to-Value</t>
  </si>
  <si>
    <t xml:space="preserve">4. INTEREST EXPENSE &amp; COVENANT</t>
  </si>
  <si>
    <t xml:space="preserve">Fixed interest expense</t>
  </si>
  <si>
    <t xml:space="preserve">Floating interest expense</t>
  </si>
  <si>
    <t xml:space="preserve">Total interest expense</t>
  </si>
  <si>
    <t xml:space="preserve">Interest Coverage Ratio (ICR)</t>
  </si>
  <si>
    <t xml:space="preserve">5. Transaction And Returns</t>
  </si>
  <si>
    <t xml:space="preserve">Stabilised NOI</t>
  </si>
  <si>
    <t xml:space="preserve">Entry net initial Yield</t>
  </si>
  <si>
    <t xml:space="preserve">IRR base case</t>
  </si>
  <si>
    <t xml:space="preserve">Equity multiple base case</t>
  </si>
  <si>
    <t xml:space="preserve">Portfolio By Value</t>
  </si>
  <si>
    <t xml:space="preserve">Portfolio by Area</t>
  </si>
  <si>
    <t xml:space="preserve">Management Portfolio</t>
  </si>
  <si>
    <t xml:space="preserve">Project portfolio</t>
  </si>
  <si>
    <t xml:space="preserve">Development sites</t>
  </si>
  <si>
    <t xml:space="preserve">Project Portfolio</t>
  </si>
  <si>
    <t xml:space="preserve">Geographic Exposure</t>
  </si>
  <si>
    <t xml:space="preserve">Statement of comprehensive income</t>
  </si>
  <si>
    <t xml:space="preserve">Balance sheet</t>
  </si>
  <si>
    <t xml:space="preserve">Cash flow statement</t>
  </si>
  <si>
    <t xml:space="preserve">Statement of financial income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</si>
</sst>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0.00\x"/>
    <numFmt numFmtId="167" formatCode="dd/mm/yyyy;@"/>
    <numFmt numFmtId="168" formatCode="0%"/>
    <numFmt numFmtId="169" formatCode="0"/>
    <numFmt numFmtId="170" formatCode="#,##0"/>
    <numFmt numFmtId="171" formatCode="0.0%"/>
    <numFmt numFmtId="172" formatCode="0.00"/>
    <numFmt numFmtId="173" formatCode="0.00\x"/>
    <numFmt numFmtId="174" formatCode="m/d/yyyy"/>
    <numFmt numFmtId="175" formatCode="General"/>
    <numFmt numFmtId="176" formatCode="#,##0.00"/>
  </numFmts>
  <fonts count="2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color theme="1"/>
      <name val="Times New Roman"/>
      <family val="1"/>
      <charset val="1"/>
    </font>
    <font>
      <sz val="14"/>
      <color theme="1"/>
      <name val="Aptos Narrow"/>
      <family val="2"/>
      <charset val="1"/>
    </font>
    <font>
      <sz val="18"/>
      <color theme="0"/>
      <name val="Aptos Narrow"/>
      <family val="2"/>
      <charset val="1"/>
    </font>
    <font>
      <i val="true"/>
      <sz val="9"/>
      <color theme="1" tint="0.3499"/>
      <name val="Aptos Narrow"/>
      <family val="2"/>
      <charset val="1"/>
    </font>
    <font>
      <sz val="11"/>
      <color theme="1" tint="0.4999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theme="1"/>
      <name val="Aptos Narrow"/>
      <family val="0"/>
      <charset val="1"/>
    </font>
    <font>
      <b val="true"/>
      <sz val="11"/>
      <color theme="1"/>
      <name val="Aptos Narrow"/>
      <family val="2"/>
      <charset val="1"/>
    </font>
    <font>
      <sz val="10"/>
      <name val="Arial"/>
      <family val="2"/>
    </font>
    <font>
      <sz val="10"/>
      <color theme="0"/>
      <name val="Aptos Narrow"/>
      <family val="2"/>
      <charset val="1"/>
    </font>
    <font>
      <u val="single"/>
      <sz val="11"/>
      <color theme="9"/>
      <name val="Aptos Narrow"/>
      <family val="2"/>
      <charset val="1"/>
    </font>
    <font>
      <sz val="11"/>
      <color theme="9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theme="4"/>
      <name val="Aptos Narrow"/>
      <family val="2"/>
      <charset val="1"/>
    </font>
    <font>
      <b val="true"/>
      <sz val="11"/>
      <name val="Cambria"/>
      <family val="1"/>
      <charset val="1"/>
    </font>
    <font>
      <b val="true"/>
      <sz val="14"/>
      <color rgb="FFFFFFFF"/>
      <name val="Cambria"/>
      <family val="1"/>
      <charset val="1"/>
    </font>
    <font>
      <i val="true"/>
      <sz val="10"/>
      <name val="Cambria"/>
      <family val="1"/>
      <charset val="1"/>
    </font>
    <font>
      <b val="true"/>
      <sz val="11"/>
      <color theme="0"/>
      <name val="Cambria"/>
      <family val="1"/>
      <charset val="1"/>
    </font>
    <font>
      <b val="true"/>
      <sz val="11"/>
      <color rgb="FFFF0000"/>
      <name val="Cambria"/>
      <family val="1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5"/>
        <bgColor rgb="FF163E64"/>
      </patternFill>
    </fill>
    <fill>
      <patternFill patternType="solid">
        <fgColor theme="0" tint="-0.15"/>
        <bgColor rgb="FFE7E6E6"/>
      </patternFill>
    </fill>
    <fill>
      <patternFill patternType="solid">
        <fgColor theme="3" tint="0.0999"/>
        <bgColor rgb="FF104862"/>
      </patternFill>
    </fill>
    <fill>
      <patternFill patternType="solid">
        <fgColor theme="3" tint="0.2499"/>
        <bgColor rgb="FF156082"/>
      </patternFill>
    </fill>
    <fill>
      <patternFill patternType="solid">
        <fgColor theme="1"/>
        <bgColor rgb="FF0E2841"/>
      </patternFill>
    </fill>
    <fill>
      <patternFill patternType="solid">
        <fgColor theme="0"/>
        <bgColor rgb="FFE7E6E6"/>
      </patternFill>
    </fill>
    <fill>
      <patternFill patternType="solid">
        <fgColor theme="3"/>
        <bgColor rgb="FF163E64"/>
      </patternFill>
    </fill>
    <fill>
      <patternFill patternType="solid">
        <fgColor rgb="FFE7E6E6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5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63E6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6082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7F7F7F"/>
      <rgbColor rgb="FF9999FF"/>
      <rgbColor rgb="FF595959"/>
      <rgbColor rgb="FFE7E6E6"/>
      <rgbColor rgb="FFCCFFFF"/>
      <rgbColor rgb="FF660066"/>
      <rgbColor rgb="FFFF8080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467886"/>
      <rgbColor rgb="FF969696"/>
      <rgbColor rgb="FF163E64"/>
      <rgbColor rgb="FF4EA72E"/>
      <rgbColor rgb="FF003300"/>
      <rgbColor rgb="FF333300"/>
      <rgbColor rgb="FF993300"/>
      <rgbColor rgb="FF993366"/>
      <rgbColor rgb="FF104862"/>
      <rgbColor rgb="FF0E28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nb-NO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nb-NO" sz="1400" spc="-1" strike="noStrike">
                <a:solidFill>
                  <a:srgbClr val="595959"/>
                </a:solidFill>
                <a:latin typeface="Aptos Narrow"/>
              </a:rPr>
              <a:t>Portfolio By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e9713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196b24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'Property Portfolio'!$A$3:$C$3</c:f>
              <c:numCache>
                <c:formatCode>0%</c:formatCode>
                <c:ptCount val="3"/>
                <c:pt idx="0">
                  <c:v>0.91</c:v>
                </c:pt>
                <c:pt idx="1">
                  <c:v>0.08</c:v>
                </c:pt>
                <c:pt idx="2">
                  <c:v>0.01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nb-NO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nb-NO" sz="1400" spc="-1" strike="noStrike">
                <a:solidFill>
                  <a:srgbClr val="595959"/>
                </a:solidFill>
                <a:latin typeface="Aptos Narrow"/>
              </a:rPr>
              <a:t>Portfolio By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e9713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196b24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'Property Portfolio'!$F$3:$H$3</c:f>
              <c:numCache>
                <c:formatCode>0%</c:formatCode>
                <c:ptCount val="3"/>
                <c:pt idx="0">
                  <c:v>0.85</c:v>
                </c:pt>
                <c:pt idx="1">
                  <c:v>0.08</c:v>
                </c:pt>
                <c:pt idx="2">
                  <c:v>0.07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e9713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196b2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0f9ed5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'Property Portfolio'!$A$25:$D$25</c:f>
              <c:numCache>
                <c:formatCode>0%</c:formatCode>
                <c:ptCount val="4"/>
                <c:pt idx="0">
                  <c:v>0.67</c:v>
                </c:pt>
                <c:pt idx="1">
                  <c:v>0.15</c:v>
                </c:pt>
                <c:pt idx="2">
                  <c:v>0.12</c:v>
                </c:pt>
                <c:pt idx="3">
                  <c:v>0.05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e9713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196b2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0f9ed5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'Property Portfolio'!$G$25:$J$25</c:f>
              <c:numCache>
                <c:formatCode>0%</c:formatCode>
                <c:ptCount val="4"/>
                <c:pt idx="0">
                  <c:v>0.77</c:v>
                </c:pt>
                <c:pt idx="1">
                  <c:v>0.12</c:v>
                </c:pt>
                <c:pt idx="2">
                  <c:v>0.08</c:v>
                </c:pt>
                <c:pt idx="3">
                  <c:v>0.04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10.png"/><Relationship Id="rId5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137880</xdr:rowOff>
    </xdr:from>
    <xdr:to>
      <xdr:col>3</xdr:col>
      <xdr:colOff>18360</xdr:colOff>
      <xdr:row>18</xdr:row>
      <xdr:rowOff>130680</xdr:rowOff>
    </xdr:to>
    <xdr:graphicFrame>
      <xdr:nvGraphicFramePr>
        <xdr:cNvPr id="0" name="Chart 1"/>
        <xdr:cNvGraphicFramePr/>
      </xdr:nvGraphicFramePr>
      <xdr:xfrm>
        <a:off x="0" y="680760"/>
        <a:ext cx="4316040" cy="270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571680</xdr:colOff>
      <xdr:row>4</xdr:row>
      <xdr:rowOff>24120</xdr:rowOff>
    </xdr:from>
    <xdr:to>
      <xdr:col>8</xdr:col>
      <xdr:colOff>29880</xdr:colOff>
      <xdr:row>18</xdr:row>
      <xdr:rowOff>162000</xdr:rowOff>
    </xdr:to>
    <xdr:graphicFrame>
      <xdr:nvGraphicFramePr>
        <xdr:cNvPr id="1" name="Chart 2"/>
        <xdr:cNvGraphicFramePr/>
      </xdr:nvGraphicFramePr>
      <xdr:xfrm>
        <a:off x="6274440" y="748080"/>
        <a:ext cx="4515480" cy="267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122040</xdr:rowOff>
    </xdr:from>
    <xdr:to>
      <xdr:col>4</xdr:col>
      <xdr:colOff>68400</xdr:colOff>
      <xdr:row>40</xdr:row>
      <xdr:rowOff>45720</xdr:rowOff>
    </xdr:to>
    <xdr:graphicFrame>
      <xdr:nvGraphicFramePr>
        <xdr:cNvPr id="2" name="Chart 3"/>
        <xdr:cNvGraphicFramePr/>
      </xdr:nvGraphicFramePr>
      <xdr:xfrm>
        <a:off x="0" y="4646520"/>
        <a:ext cx="5771160" cy="263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1289880</xdr:colOff>
      <xdr:row>26</xdr:row>
      <xdr:rowOff>52200</xdr:rowOff>
    </xdr:from>
    <xdr:to>
      <xdr:col>10</xdr:col>
      <xdr:colOff>87480</xdr:colOff>
      <xdr:row>40</xdr:row>
      <xdr:rowOff>160560</xdr:rowOff>
    </xdr:to>
    <xdr:graphicFrame>
      <xdr:nvGraphicFramePr>
        <xdr:cNvPr id="3" name="Chart 4"/>
        <xdr:cNvGraphicFramePr/>
      </xdr:nvGraphicFramePr>
      <xdr:xfrm>
        <a:off x="7752240" y="4757400"/>
        <a:ext cx="4614120" cy="264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3240</xdr:rowOff>
    </xdr:from>
    <xdr:to>
      <xdr:col>9</xdr:col>
      <xdr:colOff>207000</xdr:colOff>
      <xdr:row>22</xdr:row>
      <xdr:rowOff>161640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0" y="184320"/>
          <a:ext cx="7042320" cy="395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9</xdr:col>
      <xdr:colOff>254160</xdr:colOff>
      <xdr:row>38</xdr:row>
      <xdr:rowOff>113040</xdr:rowOff>
    </xdr:to>
    <xdr:pic>
      <xdr:nvPicPr>
        <xdr:cNvPr id="5" name="Picture 2" descr=""/>
        <xdr:cNvPicPr/>
      </xdr:nvPicPr>
      <xdr:blipFill>
        <a:blip r:embed="rId2"/>
        <a:stretch/>
      </xdr:blipFill>
      <xdr:spPr>
        <a:xfrm>
          <a:off x="0" y="4162320"/>
          <a:ext cx="7089480" cy="282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119880</xdr:colOff>
      <xdr:row>2</xdr:row>
      <xdr:rowOff>66600</xdr:rowOff>
    </xdr:from>
    <xdr:to>
      <xdr:col>24</xdr:col>
      <xdr:colOff>73080</xdr:colOff>
      <xdr:row>25</xdr:row>
      <xdr:rowOff>29160</xdr:rowOff>
    </xdr:to>
    <xdr:pic>
      <xdr:nvPicPr>
        <xdr:cNvPr id="6" name="Picture 3" descr=""/>
        <xdr:cNvPicPr/>
      </xdr:nvPicPr>
      <xdr:blipFill>
        <a:blip r:embed="rId3"/>
        <a:stretch/>
      </xdr:blipFill>
      <xdr:spPr>
        <a:xfrm>
          <a:off x="9233280" y="428400"/>
          <a:ext cx="9066960" cy="412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23</xdr:col>
      <xdr:colOff>523440</xdr:colOff>
      <xdr:row>50</xdr:row>
      <xdr:rowOff>66600</xdr:rowOff>
    </xdr:to>
    <xdr:pic>
      <xdr:nvPicPr>
        <xdr:cNvPr id="7" name="Picture 4" descr=""/>
        <xdr:cNvPicPr/>
      </xdr:nvPicPr>
      <xdr:blipFill>
        <a:blip r:embed="rId4"/>
        <a:stretch/>
      </xdr:blipFill>
      <xdr:spPr>
        <a:xfrm>
          <a:off x="9113400" y="4524480"/>
          <a:ext cx="8877600" cy="459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35</xdr:col>
      <xdr:colOff>142920</xdr:colOff>
      <xdr:row>20</xdr:row>
      <xdr:rowOff>28440</xdr:rowOff>
    </xdr:to>
    <xdr:pic>
      <xdr:nvPicPr>
        <xdr:cNvPr id="8" name="Picture 5" descr=""/>
        <xdr:cNvPicPr/>
      </xdr:nvPicPr>
      <xdr:blipFill>
        <a:blip r:embed="rId5"/>
        <a:stretch/>
      </xdr:blipFill>
      <xdr:spPr>
        <a:xfrm>
          <a:off x="19746000" y="181080"/>
          <a:ext cx="6977880" cy="346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35</xdr:col>
      <xdr:colOff>523080</xdr:colOff>
      <xdr:row>33</xdr:row>
      <xdr:rowOff>720</xdr:rowOff>
    </xdr:to>
    <xdr:pic>
      <xdr:nvPicPr>
        <xdr:cNvPr id="9" name="Picture 6" descr=""/>
        <xdr:cNvPicPr/>
      </xdr:nvPicPr>
      <xdr:blipFill>
        <a:blip r:embed="rId6"/>
        <a:stretch/>
      </xdr:blipFill>
      <xdr:spPr>
        <a:xfrm>
          <a:off x="19746000" y="3981600"/>
          <a:ext cx="7358040" cy="1991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393120</xdr:colOff>
      <xdr:row>1</xdr:row>
      <xdr:rowOff>141120</xdr:rowOff>
    </xdr:from>
    <xdr:to>
      <xdr:col>28</xdr:col>
      <xdr:colOff>289800</xdr:colOff>
      <xdr:row>24</xdr:row>
      <xdr:rowOff>159480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11784960" y="322200"/>
          <a:ext cx="9769680" cy="418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26</xdr:row>
      <xdr:rowOff>86400</xdr:rowOff>
    </xdr:from>
    <xdr:to>
      <xdr:col>28</xdr:col>
      <xdr:colOff>254520</xdr:colOff>
      <xdr:row>41</xdr:row>
      <xdr:rowOff>70200</xdr:rowOff>
    </xdr:to>
    <xdr:pic>
      <xdr:nvPicPr>
        <xdr:cNvPr id="11" name="Picture 2" descr=""/>
        <xdr:cNvPicPr/>
      </xdr:nvPicPr>
      <xdr:blipFill>
        <a:blip r:embed="rId2"/>
        <a:stretch/>
      </xdr:blipFill>
      <xdr:spPr>
        <a:xfrm>
          <a:off x="12151440" y="4791600"/>
          <a:ext cx="9367920" cy="269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14</xdr:col>
      <xdr:colOff>559080</xdr:colOff>
      <xdr:row>22</xdr:row>
      <xdr:rowOff>148680</xdr:rowOff>
    </xdr:to>
    <xdr:pic>
      <xdr:nvPicPr>
        <xdr:cNvPr id="12" name="Picture 3" descr=""/>
        <xdr:cNvPicPr/>
      </xdr:nvPicPr>
      <xdr:blipFill>
        <a:blip r:embed="rId3"/>
        <a:stretch/>
      </xdr:blipFill>
      <xdr:spPr>
        <a:xfrm>
          <a:off x="759600" y="181080"/>
          <a:ext cx="10432080" cy="394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14</xdr:col>
      <xdr:colOff>541800</xdr:colOff>
      <xdr:row>51</xdr:row>
      <xdr:rowOff>108000</xdr:rowOff>
    </xdr:to>
    <xdr:pic>
      <xdr:nvPicPr>
        <xdr:cNvPr id="13" name="Picture 4" descr=""/>
        <xdr:cNvPicPr/>
      </xdr:nvPicPr>
      <xdr:blipFill>
        <a:blip r:embed="rId4"/>
        <a:stretch/>
      </xdr:blipFill>
      <xdr:spPr>
        <a:xfrm>
          <a:off x="759600" y="4343400"/>
          <a:ext cx="10414800" cy="4994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1</xdr:row>
      <xdr:rowOff>0</xdr:rowOff>
    </xdr:from>
    <xdr:to>
      <xdr:col>54</xdr:col>
      <xdr:colOff>87480</xdr:colOff>
      <xdr:row>31</xdr:row>
      <xdr:rowOff>178920</xdr:rowOff>
    </xdr:to>
    <xdr:pic>
      <xdr:nvPicPr>
        <xdr:cNvPr id="14" name="Picture 5" descr=""/>
        <xdr:cNvPicPr/>
      </xdr:nvPicPr>
      <xdr:blipFill>
        <a:blip r:embed="rId5"/>
        <a:stretch/>
      </xdr:blipFill>
      <xdr:spPr>
        <a:xfrm>
          <a:off x="25062120" y="181080"/>
          <a:ext cx="16036200" cy="56080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G8:H28" headerRowCount="1" totalsRowCount="0" totalsRowShown="0">
  <autoFilter ref="G8:H28"/>
  <tableColumns count="2">
    <tableColumn id="1" name="Portfolio"/>
    <tableColumn id="2" name="Column1"/>
  </tableColumns>
</table>
</file>

<file path=xl/tables/table2.xml><?xml version="1.0" encoding="utf-8"?>
<table xmlns="http://schemas.openxmlformats.org/spreadsheetml/2006/main" id="2" name="Table2" displayName="Table2" ref="G6:L20" headerRowCount="1" totalsRowCount="0" totalsRowShown="0">
  <autoFilter ref="G6:L20"/>
  <tableColumns count="6">
    <tableColumn id="1" name="Segment"/>
    <tableColumn id="2" name="Oslo"/>
    <tableColumn id="3" name="Bergen/Stavanger"/>
    <tableColumn id="4" name="Sandvika"/>
    <tableColumn id="5" name="Drammen"/>
    <tableColumn id="6" name="Total"/>
  </tableColumns>
</table>
</file>

<file path=xl/tables/table3.xml><?xml version="1.0" encoding="utf-8"?>
<table xmlns="http://schemas.openxmlformats.org/spreadsheetml/2006/main" id="3" name="Table311" displayName="Table311" ref="C13:F20" headerRowCount="1" totalsRowCount="0" totalsRowShown="0">
  <autoFilter ref="C13:F20"/>
  <tableColumns count="4">
    <tableColumn id="1" name="KPI's"/>
    <tableColumn id="2" name="2026A"/>
    <tableColumn id="3" name="2027E"/>
    <tableColumn id="4" name="2028E"/>
  </tableColumns>
</table>
</file>

<file path=xl/tables/table4.xml><?xml version="1.0" encoding="utf-8"?>
<table xmlns="http://schemas.openxmlformats.org/spreadsheetml/2006/main" id="4" name="Table4" displayName="Table4" ref="F4:G10" headerRowCount="1" totalsRowCount="0" totalsRowShown="0">
  <autoFilter ref="F4:G10"/>
  <tableColumns count="2">
    <tableColumn id="1" name="Position at FY25A"/>
    <tableColumn id="2" name="Column1"/>
  </tableColumns>
</table>
</file>

<file path=xl/tables/table5.xml><?xml version="1.0" encoding="utf-8"?>
<table xmlns="http://schemas.openxmlformats.org/spreadsheetml/2006/main" id="5" name="Table5" displayName="Table5" ref="F12:H22" headerRowCount="1" totalsRowCount="0" totalsRowShown="0">
  <autoFilter ref="F12:H22"/>
  <tableColumns count="3">
    <tableColumn id="1" name="Fixed rate maturity ladder"/>
    <tableColumn id="2" name="Column1"/>
    <tableColumn id="3" name="Column2"/>
  </tableColumns>
</table>
</file>

<file path=xl/tables/table6.xml><?xml version="1.0" encoding="utf-8"?>
<table xmlns="http://schemas.openxmlformats.org/spreadsheetml/2006/main" id="6" name="Table6" displayName="Table6" ref="F24:J31" headerRowCount="1" totalsRowCount="0" totalsRowShown="0">
  <autoFilter ref="F24:J31"/>
  <tableColumns count="5">
    <tableColumn id="1" name="Datapoint"/>
    <tableColumn id="2" name="2026E"/>
    <tableColumn id="3" name="2027E"/>
    <tableColumn id="4" name="2028E"/>
    <tableColumn id="5" name="2029E"/>
  </tableColumns>
</table>
</file>

<file path=xl/tables/table7.xml><?xml version="1.0" encoding="utf-8"?>
<table xmlns="http://schemas.openxmlformats.org/spreadsheetml/2006/main" id="7" name="Table9" displayName="Table9" ref="A4:D32" headerRowCount="1" totalsRowCount="0" totalsRowShown="0">
  <autoFilter ref="A4:D32"/>
  <tableColumns count="4">
    <tableColumn id="1" name="Column1"/>
    <tableColumn id="2" name="Column2"/>
    <tableColumn id="3" name="Column3"/>
    <tableColumn id="4" name="Column4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norges-bank.no/contentassets/c1ae1dbac64d43c898f234aa2744eb4b/mpr-2-26.pdf?v=19062026160250" TargetMode="Externa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Relationship Id="rId3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AH46"/>
  <sheetViews>
    <sheetView showFormulas="false" showGridLines="false" showRowColHeaders="true" showZeros="true" rightToLeft="false" tabSelected="false" showOutlineSymbols="true" defaultGridColor="true" view="normal" topLeftCell="A3" colorId="64" zoomScale="65" zoomScaleNormal="65" zoomScalePageLayoutView="100" workbookViewId="0">
      <selection pane="topLeft" activeCell="D16" activeCellId="0" sqref="D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42.09"/>
    <col collapsed="false" customWidth="true" hidden="false" outlineLevel="0" max="2" min="2" style="1" width="48.54"/>
    <col collapsed="false" customWidth="true" hidden="false" outlineLevel="0" max="3" min="3" style="1" width="13.18"/>
    <col collapsed="false" customWidth="true" hidden="false" outlineLevel="0" max="5" min="5" style="1" width="48.54"/>
    <col collapsed="false" customWidth="true" hidden="false" outlineLevel="0" max="6" min="6" style="1" width="13.18"/>
  </cols>
  <sheetData>
    <row r="5" customFormat="false" ht="21" hidden="false" customHeight="true" outlineLevel="0" collapsed="false">
      <c r="B5" s="2" t="s">
        <v>0</v>
      </c>
      <c r="C5" s="3"/>
      <c r="D5" s="3"/>
      <c r="E5" s="3"/>
    </row>
    <row r="6" customFormat="false" ht="14.25" hidden="false" customHeight="true" outlineLevel="0" collapsed="false">
      <c r="B6" s="4" t="s">
        <v>1</v>
      </c>
      <c r="C6" s="4" t="n">
        <f aca="false">Valuation!H12</f>
        <v>61991</v>
      </c>
      <c r="D6" s="4"/>
      <c r="E6" s="4"/>
    </row>
    <row r="7" customFormat="false" ht="14.25" hidden="false" customHeight="true" outlineLevel="0" collapsed="false">
      <c r="B7" s="1" t="s">
        <v>2</v>
      </c>
      <c r="C7" s="1" t="n">
        <f aca="false">Valuation!H25</f>
        <v>169.280615046678</v>
      </c>
    </row>
    <row r="8" customFormat="false" ht="14.25" hidden="false" customHeight="true" outlineLevel="0" collapsed="false">
      <c r="B8" s="4" t="s">
        <v>3</v>
      </c>
      <c r="C8" s="4" t="n">
        <f aca="false">11.17*9.32</f>
        <v>104.1044</v>
      </c>
      <c r="D8" s="4"/>
      <c r="E8" s="4"/>
    </row>
    <row r="9" customFormat="false" ht="14.25" hidden="false" customHeight="true" outlineLevel="0" collapsed="false">
      <c r="B9" s="5" t="s">
        <v>4</v>
      </c>
      <c r="C9" s="6" t="n">
        <f aca="false">(C7-C8)/C7</f>
        <v>0.385018775060014</v>
      </c>
      <c r="D9" s="5"/>
      <c r="E9" s="5"/>
    </row>
    <row r="11" customFormat="false" ht="14.25" hidden="false" customHeight="true" outlineLevel="0" collapsed="false">
      <c r="B11" s="7" t="s">
        <v>5</v>
      </c>
      <c r="C11" s="7" t="n">
        <f aca="false">Debt!G6</f>
        <v>31136</v>
      </c>
      <c r="D11" s="7"/>
      <c r="E11" s="7"/>
    </row>
    <row r="12" customFormat="false" ht="14.25" hidden="false" customHeight="true" outlineLevel="0" collapsed="false">
      <c r="B12" s="1" t="s">
        <v>6</v>
      </c>
      <c r="C12" s="8" t="n">
        <f aca="false">C11/C6</f>
        <v>0.502266458034231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4.25" hidden="false" customHeight="true" outlineLevel="0" collapsed="false">
      <c r="B13" s="10" t="s">
        <v>7</v>
      </c>
      <c r="C13" s="11" t="n">
        <f aca="false">Debt!G36</f>
        <v>2.12245225178499</v>
      </c>
      <c r="D13" s="10"/>
      <c r="E13" s="10"/>
    </row>
    <row r="15" customFormat="false" ht="21" hidden="false" customHeight="true" outlineLevel="0" collapsed="false">
      <c r="B15" s="2" t="s">
        <v>8</v>
      </c>
      <c r="C15" s="3"/>
      <c r="D15" s="3"/>
      <c r="E15" s="3"/>
    </row>
    <row r="16" customFormat="false" ht="126" hidden="false" customHeight="true" outlineLevel="0" collapsed="false">
      <c r="B16" s="12" t="s">
        <v>9</v>
      </c>
      <c r="C16" s="9"/>
      <c r="D16" s="9"/>
      <c r="E16" s="9"/>
    </row>
    <row r="18" customFormat="false" ht="21" hidden="false" customHeight="true" outlineLevel="0" collapsed="false">
      <c r="B18" s="2" t="s">
        <v>10</v>
      </c>
      <c r="C18" s="3"/>
      <c r="D18" s="3"/>
      <c r="E18" s="3"/>
    </row>
    <row r="19" customFormat="false" ht="14.25" hidden="false" customHeight="true" outlineLevel="0" collapsed="false">
      <c r="B19" s="4" t="s">
        <v>11</v>
      </c>
      <c r="C19" s="4"/>
      <c r="D19" s="4"/>
      <c r="E19" s="4"/>
    </row>
    <row r="20" customFormat="false" ht="14.25" hidden="false" customHeight="true" outlineLevel="0" collapsed="false">
      <c r="B20" s="1" t="s">
        <v>12</v>
      </c>
    </row>
    <row r="21" customFormat="false" ht="14.25" hidden="false" customHeight="true" outlineLevel="0" collapsed="false">
      <c r="B21" s="4" t="s">
        <v>13</v>
      </c>
      <c r="C21" s="4"/>
      <c r="D21" s="4"/>
      <c r="E21" s="4"/>
    </row>
    <row r="22" customFormat="false" ht="14.25" hidden="false" customHeight="true" outlineLevel="0" collapsed="false">
      <c r="B22" s="1" t="s">
        <v>14</v>
      </c>
    </row>
    <row r="23" customFormat="false" ht="14.25" hidden="false" customHeight="true" outlineLevel="0" collapsed="false">
      <c r="B23" s="4" t="s">
        <v>15</v>
      </c>
      <c r="C23" s="4"/>
      <c r="D23" s="4"/>
      <c r="E23" s="4"/>
    </row>
    <row r="24" customFormat="false" ht="14.25" hidden="false" customHeight="true" outlineLevel="0" collapsed="false">
      <c r="B24" s="1" t="s">
        <v>16</v>
      </c>
    </row>
    <row r="25" customFormat="false" ht="21" hidden="false" customHeight="true" outlineLevel="0" collapsed="false">
      <c r="B25" s="10" t="s">
        <v>17</v>
      </c>
      <c r="C25" s="10"/>
      <c r="D25" s="10"/>
      <c r="E25" s="10"/>
    </row>
    <row r="26" customFormat="false" ht="18" hidden="false" customHeight="true" outlineLevel="0" collapsed="false">
      <c r="B26" s="2" t="s">
        <v>18</v>
      </c>
      <c r="C26" s="2"/>
      <c r="D26" s="2"/>
      <c r="E26" s="2"/>
    </row>
    <row r="27" customFormat="false" ht="18" hidden="false" customHeight="true" outlineLevel="0" collapsed="false">
      <c r="B27" s="13" t="s">
        <v>19</v>
      </c>
      <c r="C27" s="14"/>
      <c r="D27" s="14"/>
      <c r="E27" s="14"/>
    </row>
    <row r="29" customFormat="false" ht="23.25" hidden="false" customHeight="true" outlineLevel="0" collapsed="false">
      <c r="B29" s="15" t="s">
        <v>20</v>
      </c>
      <c r="C29" s="15"/>
      <c r="D29" s="15"/>
    </row>
    <row r="30" customFormat="false" ht="14.25" hidden="false" customHeight="true" outlineLevel="0" collapsed="false">
      <c r="B30" s="4" t="s">
        <v>21</v>
      </c>
      <c r="C30" s="16"/>
      <c r="D30" s="16" t="n">
        <f aca="false">Transaction!C5</f>
        <v>0.3</v>
      </c>
    </row>
    <row r="31" customFormat="false" ht="14.25" hidden="false" customHeight="true" outlineLevel="0" collapsed="false">
      <c r="B31" s="1" t="s">
        <v>22</v>
      </c>
      <c r="D31" s="1" t="n">
        <f aca="false">Transaction!C6</f>
        <v>137.54</v>
      </c>
    </row>
    <row r="32" customFormat="false" ht="14.25" hidden="false" customHeight="true" outlineLevel="0" collapsed="false">
      <c r="B32" s="4" t="s">
        <v>23</v>
      </c>
      <c r="C32" s="4"/>
      <c r="D32" s="17" t="n">
        <f aca="false">Transaction!C13</f>
        <v>55877.248</v>
      </c>
    </row>
    <row r="33" customFormat="false" ht="14.25" hidden="false" customHeight="true" outlineLevel="0" collapsed="false">
      <c r="B33" s="1" t="s">
        <v>24</v>
      </c>
      <c r="D33" s="1" t="n">
        <f aca="false">(1-Transaction!C13/Transaction!C15)</f>
        <v>0.0777201333641436</v>
      </c>
    </row>
    <row r="34" customFormat="false" ht="14.25" hidden="false" customHeight="true" outlineLevel="0" collapsed="false">
      <c r="B34" s="4" t="s">
        <v>25</v>
      </c>
      <c r="C34" s="4"/>
      <c r="D34" s="4" t="s">
        <v>26</v>
      </c>
    </row>
    <row r="35" customFormat="false" ht="14.25" hidden="false" customHeight="true" outlineLevel="0" collapsed="false">
      <c r="B35" s="1" t="s">
        <v>27</v>
      </c>
      <c r="D35" s="18" t="n">
        <f aca="false">Transaction!L18</f>
        <v>24198.8950276243</v>
      </c>
    </row>
    <row r="36" customFormat="false" ht="14.25" hidden="false" customHeight="true" outlineLevel="0" collapsed="false">
      <c r="B36" s="4" t="s">
        <v>28</v>
      </c>
      <c r="C36" s="4"/>
      <c r="D36" s="17" t="n">
        <f aca="false">Transaction!L21</f>
        <v>32795.8979323757</v>
      </c>
    </row>
    <row r="37" customFormat="false" ht="14.25" hidden="false" customHeight="true" outlineLevel="0" collapsed="false">
      <c r="B37" s="1" t="s">
        <v>29</v>
      </c>
      <c r="D37" s="8" t="n">
        <f aca="false">Returns!C38</f>
        <v>0.0461175995809981</v>
      </c>
    </row>
    <row r="38" customFormat="false" ht="14.25" hidden="false" customHeight="true" outlineLevel="0" collapsed="false">
      <c r="B38" s="10" t="s">
        <v>30</v>
      </c>
      <c r="C38" s="10"/>
      <c r="D38" s="10" t="n">
        <f aca="false">Returns!C39</f>
        <v>1.23958527443843</v>
      </c>
    </row>
    <row r="40" customFormat="false" ht="23.25" hidden="false" customHeight="true" outlineLevel="0" collapsed="false">
      <c r="B40" s="15" t="s">
        <v>31</v>
      </c>
      <c r="C40" s="19"/>
      <c r="D40" s="19"/>
    </row>
    <row r="41" customFormat="false" ht="14.25" hidden="false" customHeight="true" outlineLevel="0" collapsed="false">
      <c r="B41" s="20" t="s">
        <v>32</v>
      </c>
      <c r="C41" s="20" t="s">
        <v>33</v>
      </c>
      <c r="D41" s="20"/>
    </row>
    <row r="42" customFormat="false" ht="14.25" hidden="false" customHeight="true" outlineLevel="0" collapsed="false">
      <c r="B42" s="4" t="s">
        <v>34</v>
      </c>
      <c r="C42" s="4" t="s">
        <v>35</v>
      </c>
      <c r="D42" s="4"/>
    </row>
    <row r="43" customFormat="false" ht="14.25" hidden="false" customHeight="true" outlineLevel="0" collapsed="false">
      <c r="B43" s="4" t="s">
        <v>36</v>
      </c>
      <c r="C43" s="4" t="s">
        <v>37</v>
      </c>
      <c r="D43" s="4"/>
    </row>
    <row r="44" customFormat="false" ht="14.25" hidden="false" customHeight="true" outlineLevel="0" collapsed="false">
      <c r="B44" s="4" t="s">
        <v>38</v>
      </c>
      <c r="C44" s="4" t="s">
        <v>39</v>
      </c>
      <c r="D44" s="4"/>
    </row>
    <row r="46" customFormat="false" ht="14.25" hidden="false" customHeight="true" outlineLevel="0" collapsed="false">
      <c r="B46" s="21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35"/>
  <sheetViews>
    <sheetView showFormulas="false" showGridLines="false" showRowColHeaders="true" showZeros="true" rightToLeft="false" tabSelected="false" showOutlineSymbols="true" defaultGridColor="true" view="normal" topLeftCell="E13" colorId="64" zoomScale="64" zoomScaleNormal="64" zoomScalePageLayoutView="100" workbookViewId="0">
      <selection pane="topLeft" activeCell="P35" activeCellId="0" sqref="P35"/>
    </sheetView>
  </sheetViews>
  <sheetFormatPr defaultColWidth="8.5390625" defaultRowHeight="14.25" zeroHeight="false" outlineLevelRow="0" outlineLevelCol="0"/>
  <cols>
    <col collapsed="false" customWidth="true" hidden="false" outlineLevel="0" max="2" min="2" style="1" width="37.73"/>
    <col collapsed="false" customWidth="true" hidden="false" outlineLevel="0" max="3" min="3" style="1" width="10.36"/>
    <col collapsed="false" customWidth="true" hidden="false" outlineLevel="0" max="4" min="4" style="1" width="9.54"/>
    <col collapsed="false" customWidth="true" hidden="false" outlineLevel="0" max="5" min="5" style="1" width="6.18"/>
    <col collapsed="false" customWidth="true" hidden="false" outlineLevel="0" max="7" min="6" style="1" width="7"/>
    <col collapsed="false" customWidth="true" hidden="false" outlineLevel="0" max="11" min="11" style="1" width="23"/>
    <col collapsed="false" customWidth="true" hidden="false" outlineLevel="0" max="12" min="12" style="1" width="12.54"/>
    <col collapsed="false" customWidth="true" hidden="false" outlineLevel="0" max="15" min="15" style="1" width="47.54"/>
    <col collapsed="false" customWidth="true" hidden="false" outlineLevel="0" max="16" min="16" style="1" width="8.73"/>
    <col collapsed="false" customWidth="true" hidden="false" outlineLevel="0" max="18" min="18" style="1" width="8.73"/>
    <col collapsed="false" customWidth="true" hidden="false" outlineLevel="0" max="20" min="20" style="1" width="13"/>
    <col collapsed="false" customWidth="true" hidden="false" outlineLevel="0" max="21" min="21" style="1" width="6.27"/>
  </cols>
  <sheetData>
    <row r="2" customFormat="false" ht="23.25" hidden="false" customHeight="true" outlineLevel="0" collapsed="false">
      <c r="B2" s="15" t="s">
        <v>41</v>
      </c>
      <c r="C2" s="22"/>
      <c r="D2" s="22"/>
      <c r="E2" s="22"/>
      <c r="F2" s="22"/>
      <c r="G2" s="19"/>
      <c r="K2" s="15" t="s">
        <v>42</v>
      </c>
      <c r="L2" s="22"/>
      <c r="M2" s="22"/>
      <c r="N2" s="22"/>
      <c r="O2" s="22"/>
      <c r="P2" s="22"/>
      <c r="Q2" s="22"/>
    </row>
    <row r="3" customFormat="false" ht="14.25" hidden="false" customHeight="true" outlineLevel="0" collapsed="false">
      <c r="B3" s="20" t="s">
        <v>43</v>
      </c>
      <c r="C3" s="20"/>
      <c r="D3" s="20"/>
      <c r="E3" s="20"/>
      <c r="F3" s="20"/>
      <c r="G3" s="20"/>
      <c r="K3" s="20" t="s">
        <v>44</v>
      </c>
      <c r="L3" s="20"/>
      <c r="M3" s="20"/>
      <c r="N3" s="20"/>
      <c r="O3" s="20"/>
      <c r="P3" s="20"/>
      <c r="Q3" s="20"/>
    </row>
    <row r="4" customFormat="false" ht="14.25" hidden="false" customHeight="true" outlineLevel="0" collapsed="false">
      <c r="B4" s="4" t="s">
        <v>45</v>
      </c>
      <c r="C4" s="4" t="n">
        <f aca="false">Assumptions!E24</f>
        <v>105.8</v>
      </c>
      <c r="D4" s="4"/>
      <c r="E4" s="4"/>
      <c r="F4" s="4"/>
      <c r="G4" s="4"/>
      <c r="K4" s="17" t="s">
        <v>46</v>
      </c>
      <c r="L4" s="17" t="n">
        <f aca="false">C8</f>
        <v>24922.248</v>
      </c>
      <c r="M4" s="4"/>
      <c r="N4" s="4"/>
      <c r="O4" s="23" t="s">
        <v>47</v>
      </c>
      <c r="P4" s="23"/>
      <c r="Q4" s="23"/>
      <c r="R4" s="24"/>
      <c r="S4" s="24"/>
    </row>
    <row r="5" customFormat="false" ht="14.25" hidden="false" customHeight="true" outlineLevel="0" collapsed="false">
      <c r="B5" s="1" t="s">
        <v>48</v>
      </c>
      <c r="C5" s="25" t="n">
        <v>0.3</v>
      </c>
      <c r="K5" s="1" t="s">
        <v>49</v>
      </c>
      <c r="L5" s="1" t="n">
        <f aca="false">C11</f>
        <v>30955</v>
      </c>
      <c r="O5" s="24" t="s">
        <v>50</v>
      </c>
      <c r="P5" s="24"/>
      <c r="Q5" s="24"/>
      <c r="R5" s="24"/>
      <c r="S5" s="24"/>
    </row>
    <row r="6" customFormat="false" ht="14.25" hidden="false" customHeight="true" outlineLevel="0" collapsed="false">
      <c r="B6" s="4" t="s">
        <v>51</v>
      </c>
      <c r="C6" s="4" t="n">
        <f aca="false">C4*(1+C5)</f>
        <v>137.54</v>
      </c>
      <c r="D6" s="4"/>
      <c r="E6" s="4"/>
      <c r="F6" s="4"/>
      <c r="G6" s="4"/>
      <c r="K6" s="20" t="s">
        <v>52</v>
      </c>
      <c r="L6" s="20"/>
      <c r="M6" s="20"/>
      <c r="N6" s="20"/>
      <c r="O6" s="20"/>
      <c r="P6" s="20"/>
      <c r="Q6" s="20"/>
    </row>
    <row r="7" customFormat="false" ht="14.25" hidden="false" customHeight="true" outlineLevel="0" collapsed="false">
      <c r="B7" s="1" t="s">
        <v>53</v>
      </c>
      <c r="C7" s="1" t="n">
        <f aca="false">Valuation!H35</f>
        <v>181.2</v>
      </c>
      <c r="K7" s="4" t="s">
        <v>54</v>
      </c>
      <c r="L7" s="17" t="n">
        <f aca="false">SUM(L4:L5)*0.02</f>
        <v>1117.54496</v>
      </c>
      <c r="M7" s="4"/>
      <c r="N7" s="4"/>
      <c r="O7" s="23" t="s">
        <v>55</v>
      </c>
      <c r="P7" s="23"/>
      <c r="Q7" s="23"/>
      <c r="R7" s="24"/>
      <c r="S7" s="24"/>
    </row>
    <row r="8" customFormat="false" ht="14.25" hidden="false" customHeight="true" outlineLevel="0" collapsed="false">
      <c r="B8" s="10" t="s">
        <v>56</v>
      </c>
      <c r="C8" s="26" t="n">
        <f aca="false">C6*C7</f>
        <v>24922.248</v>
      </c>
      <c r="D8" s="10"/>
      <c r="E8" s="10"/>
      <c r="F8" s="10"/>
      <c r="G8" s="4"/>
      <c r="K8" s="1" t="s">
        <v>57</v>
      </c>
      <c r="L8" s="25" t="s">
        <v>58</v>
      </c>
    </row>
    <row r="9" customFormat="false" ht="14.25" hidden="false" customHeight="true" outlineLevel="0" collapsed="false">
      <c r="B9" s="20" t="s">
        <v>59</v>
      </c>
      <c r="C9" s="27" t="s">
        <v>60</v>
      </c>
      <c r="D9" s="27" t="n">
        <f aca="false">(C4*C7)+C11</f>
        <v>50125.96</v>
      </c>
      <c r="E9" s="20"/>
      <c r="F9" s="20"/>
      <c r="G9" s="28"/>
      <c r="K9" s="20" t="s">
        <v>61</v>
      </c>
      <c r="L9" s="20"/>
      <c r="M9" s="20"/>
      <c r="N9" s="20"/>
      <c r="O9" s="20"/>
      <c r="P9" s="20"/>
      <c r="Q9" s="20"/>
    </row>
    <row r="10" customFormat="false" ht="14.25" hidden="false" customHeight="true" outlineLevel="0" collapsed="false">
      <c r="K10" s="29" t="s">
        <v>62</v>
      </c>
      <c r="L10" s="30" t="n">
        <f aca="false">SUM(L4:L5)+L7</f>
        <v>56994.79296</v>
      </c>
      <c r="M10" s="29"/>
      <c r="N10" s="29"/>
      <c r="O10" s="29"/>
      <c r="P10" s="29"/>
      <c r="Q10" s="29"/>
    </row>
    <row r="11" customFormat="false" ht="14.25" hidden="false" customHeight="true" outlineLevel="0" collapsed="false">
      <c r="B11" s="4" t="s">
        <v>63</v>
      </c>
      <c r="C11" s="4" t="n">
        <v>30955</v>
      </c>
      <c r="D11" s="4"/>
      <c r="E11" s="4"/>
      <c r="F11" s="4"/>
      <c r="G11" s="4"/>
    </row>
    <row r="12" customFormat="false" ht="14.25" hidden="false" customHeight="true" outlineLevel="0" collapsed="false">
      <c r="B12" s="1" t="s">
        <v>64</v>
      </c>
      <c r="C12" s="18" t="n">
        <f aca="false">C6*C7</f>
        <v>24922.248</v>
      </c>
    </row>
    <row r="13" customFormat="false" ht="23.25" hidden="false" customHeight="true" outlineLevel="0" collapsed="false">
      <c r="B13" s="10" t="s">
        <v>65</v>
      </c>
      <c r="C13" s="26" t="n">
        <f aca="false">C11+C12</f>
        <v>55877.248</v>
      </c>
      <c r="D13" s="10"/>
      <c r="E13" s="10"/>
      <c r="F13" s="10"/>
      <c r="G13" s="10"/>
      <c r="K13" s="15" t="s">
        <v>66</v>
      </c>
      <c r="L13" s="15"/>
      <c r="M13" s="15"/>
      <c r="N13" s="15"/>
      <c r="O13" s="15"/>
      <c r="P13" s="15"/>
      <c r="Q13" s="19"/>
    </row>
    <row r="14" customFormat="false" ht="14.25" hidden="false" customHeight="true" outlineLevel="0" collapsed="false">
      <c r="B14" s="27" t="s">
        <v>67</v>
      </c>
      <c r="C14" s="27" t="s">
        <v>68</v>
      </c>
      <c r="D14" s="27" t="s">
        <v>69</v>
      </c>
      <c r="E14" s="27" t="s">
        <v>70</v>
      </c>
      <c r="F14" s="27" t="s">
        <v>71</v>
      </c>
      <c r="G14" s="27" t="s">
        <v>72</v>
      </c>
      <c r="K14" s="20" t="s">
        <v>73</v>
      </c>
      <c r="L14" s="20"/>
      <c r="M14" s="20"/>
      <c r="N14" s="20"/>
      <c r="O14" s="20"/>
      <c r="P14" s="20"/>
      <c r="Q14" s="20"/>
    </row>
    <row r="15" customFormat="false" ht="14.25" hidden="false" customHeight="true" outlineLevel="0" collapsed="false">
      <c r="B15" s="10" t="s">
        <v>74</v>
      </c>
      <c r="C15" s="10" t="n">
        <v>60586</v>
      </c>
      <c r="D15" s="10" t="n">
        <v>61425</v>
      </c>
      <c r="E15" s="10" t="n">
        <v>62118</v>
      </c>
      <c r="F15" s="10" t="n">
        <v>61991</v>
      </c>
      <c r="G15" s="10" t="n">
        <v>69520</v>
      </c>
      <c r="K15" s="4" t="s">
        <v>75</v>
      </c>
      <c r="L15" s="17" t="n">
        <f aca="false">Assumptions!D36*C15</f>
        <v>33322.3</v>
      </c>
      <c r="M15" s="4"/>
      <c r="N15" s="4"/>
      <c r="O15" s="23" t="s">
        <v>76</v>
      </c>
      <c r="P15" s="23"/>
      <c r="Q15" s="23"/>
      <c r="R15" s="24"/>
      <c r="S15" s="24"/>
    </row>
    <row r="16" customFormat="false" ht="14.25" hidden="false" customHeight="true" outlineLevel="0" collapsed="false">
      <c r="K16" s="1" t="s">
        <v>77</v>
      </c>
      <c r="L16" s="18" t="n">
        <f aca="false">(('P&amp;L'!F26*4)/Assumptions!D37)</f>
        <v>31511.1111111111</v>
      </c>
    </row>
    <row r="17" customFormat="false" ht="14.25" hidden="false" customHeight="true" outlineLevel="0" collapsed="false">
      <c r="B17" s="20" t="s">
        <v>78</v>
      </c>
      <c r="C17" s="20"/>
      <c r="D17" s="20"/>
      <c r="E17" s="20"/>
      <c r="F17" s="20"/>
      <c r="G17" s="20"/>
      <c r="K17" s="10" t="s">
        <v>79</v>
      </c>
      <c r="L17" s="26" t="n">
        <f aca="false">(('P&amp;L'!F30)*4)/Assumptions!D38/Assumptions!D18</f>
        <v>24198.8950276243</v>
      </c>
      <c r="M17" s="10"/>
      <c r="N17" s="10"/>
      <c r="O17" s="10"/>
      <c r="P17" s="10"/>
      <c r="Q17" s="10"/>
    </row>
    <row r="18" customFormat="false" ht="14.25" hidden="false" customHeight="true" outlineLevel="0" collapsed="false">
      <c r="B18" s="4" t="s">
        <v>80</v>
      </c>
      <c r="C18" s="4" t="n">
        <f aca="false">Valuation!H36</f>
        <v>163.29</v>
      </c>
      <c r="D18" s="4"/>
      <c r="E18" s="4"/>
      <c r="F18" s="4"/>
      <c r="G18" s="4"/>
      <c r="K18" s="29" t="s">
        <v>81</v>
      </c>
      <c r="L18" s="30" t="n">
        <f aca="false">MIN(L15:L17)</f>
        <v>24198.8950276243</v>
      </c>
      <c r="M18" s="31" t="str">
        <f aca="false">INDEX({"LTV","Debt yield","ICR"},MATCH(L18,L15:L17,0))&amp;" test binds"</f>
        <v>ICR test binds</v>
      </c>
      <c r="N18" s="29"/>
      <c r="O18" s="29"/>
      <c r="P18" s="29"/>
      <c r="Q18" s="29"/>
    </row>
    <row r="19" customFormat="false" ht="14.25" hidden="false" customHeight="true" outlineLevel="0" collapsed="false">
      <c r="B19" s="20" t="s">
        <v>82</v>
      </c>
      <c r="C19" s="27" t="s">
        <v>83</v>
      </c>
      <c r="D19" s="27" t="s">
        <v>84</v>
      </c>
      <c r="E19" s="32"/>
      <c r="F19" s="28"/>
      <c r="G19" s="28"/>
      <c r="K19" s="20" t="s">
        <v>85</v>
      </c>
      <c r="L19" s="20"/>
      <c r="M19" s="20"/>
      <c r="N19" s="20"/>
      <c r="O19" s="20"/>
      <c r="P19" s="20"/>
      <c r="Q19" s="20"/>
    </row>
    <row r="20" customFormat="false" ht="14.25" hidden="false" customHeight="true" outlineLevel="0" collapsed="false">
      <c r="B20" s="33" t="s">
        <v>86</v>
      </c>
      <c r="C20" s="8" t="n">
        <f aca="false">1-(C4/C18)</f>
        <v>0.352072998958907</v>
      </c>
      <c r="D20" s="8" t="n">
        <f aca="false">C4/C18</f>
        <v>0.647927001041093</v>
      </c>
      <c r="K20" s="4" t="s">
        <v>87</v>
      </c>
      <c r="L20" s="17" t="n">
        <f aca="false">L18</f>
        <v>24198.8950276243</v>
      </c>
      <c r="M20" s="4"/>
      <c r="N20" s="4"/>
      <c r="O20" s="23" t="s">
        <v>88</v>
      </c>
      <c r="P20" s="23"/>
      <c r="Q20" s="23"/>
      <c r="R20" s="24"/>
    </row>
    <row r="21" customFormat="false" ht="14.25" hidden="false" customHeight="true" outlineLevel="0" collapsed="false">
      <c r="B21" s="4" t="s">
        <v>89</v>
      </c>
      <c r="C21" s="34" t="n">
        <f aca="false">1-(C6/C18)</f>
        <v>0.15769489864658</v>
      </c>
      <c r="D21" s="34" t="n">
        <f aca="false">C6/C18</f>
        <v>0.84230510135342</v>
      </c>
      <c r="E21" s="4"/>
      <c r="F21" s="4"/>
      <c r="G21" s="4"/>
      <c r="K21" s="1" t="s">
        <v>90</v>
      </c>
      <c r="L21" s="18" t="n">
        <f aca="false">L10-L20</f>
        <v>32795.8979323757</v>
      </c>
    </row>
    <row r="22" customFormat="false" ht="14.25" hidden="false" customHeight="true" outlineLevel="0" collapsed="false">
      <c r="B22" s="35" t="s">
        <v>91</v>
      </c>
      <c r="C22" s="6" t="n">
        <f aca="false">1-(C13/C15)</f>
        <v>0.0777201333641436</v>
      </c>
      <c r="D22" s="6" t="n">
        <f aca="false">C13/C15</f>
        <v>0.922279866635856</v>
      </c>
      <c r="E22" s="5"/>
      <c r="F22" s="5"/>
      <c r="G22" s="5"/>
      <c r="K22" s="10" t="s">
        <v>92</v>
      </c>
      <c r="L22" s="26" t="n">
        <f aca="false">SUM(L20:L21)</f>
        <v>56994.79296</v>
      </c>
      <c r="M22" s="10"/>
      <c r="N22" s="10"/>
      <c r="O22" s="10"/>
      <c r="P22" s="10"/>
      <c r="Q22" s="10"/>
    </row>
    <row r="23" customFormat="false" ht="14.25" hidden="false" customHeight="true" outlineLevel="0" collapsed="false">
      <c r="B23" s="29" t="s">
        <v>93</v>
      </c>
      <c r="C23" s="36" t="n">
        <f aca="false">((C15-C11)/C7)/C4-1</f>
        <v>0.545618998735588</v>
      </c>
      <c r="D23" s="29"/>
      <c r="E23" s="29"/>
      <c r="F23" s="29"/>
      <c r="G23" s="29"/>
      <c r="K23" s="4" t="s">
        <v>94</v>
      </c>
      <c r="L23" s="17" t="n">
        <f aca="false">L22-L10</f>
        <v>0</v>
      </c>
      <c r="M23" s="4"/>
      <c r="N23" s="4"/>
      <c r="O23" s="4"/>
      <c r="P23" s="4"/>
      <c r="Q23" s="4"/>
    </row>
    <row r="24" customFormat="false" ht="14.25" hidden="false" customHeight="true" outlineLevel="0" collapsed="false">
      <c r="B24" s="37" t="s">
        <v>95</v>
      </c>
      <c r="C24" s="38" t="n">
        <f aca="false">C23-C5</f>
        <v>0.245618998735588</v>
      </c>
      <c r="D24" s="37"/>
      <c r="E24" s="37"/>
      <c r="F24" s="37"/>
      <c r="G24" s="37"/>
    </row>
    <row r="26" customFormat="false" ht="23.25" hidden="false" customHeight="true" outlineLevel="0" collapsed="false">
      <c r="K26" s="15" t="s">
        <v>96</v>
      </c>
      <c r="L26" s="15"/>
      <c r="M26" s="15"/>
      <c r="N26" s="15"/>
      <c r="O26" s="15"/>
    </row>
    <row r="27" customFormat="false" ht="14.25" hidden="false" customHeight="true" outlineLevel="0" collapsed="false">
      <c r="K27" s="4" t="s">
        <v>97</v>
      </c>
      <c r="L27" s="39" t="n">
        <f aca="false">'Rent Roll'!H28</f>
        <v>2754</v>
      </c>
      <c r="M27" s="4"/>
      <c r="N27" s="4"/>
      <c r="O27" s="4"/>
    </row>
    <row r="28" customFormat="false" ht="14.25" hidden="false" customHeight="true" outlineLevel="0" collapsed="false">
      <c r="K28" s="33" t="s">
        <v>98</v>
      </c>
      <c r="L28" s="40" t="n">
        <f aca="false">'Rent Roll'!H30</f>
        <v>2546</v>
      </c>
      <c r="M28" s="33"/>
      <c r="N28" s="33"/>
      <c r="O28" s="33"/>
    </row>
    <row r="29" customFormat="false" ht="14.25" hidden="false" customHeight="true" outlineLevel="0" collapsed="false">
      <c r="K29" s="4" t="s">
        <v>99</v>
      </c>
      <c r="L29" s="34" t="n">
        <f aca="false">L27/C13</f>
        <v>0.0492866076725898</v>
      </c>
      <c r="M29" s="4"/>
      <c r="N29" s="4"/>
      <c r="O29" s="4"/>
    </row>
    <row r="30" customFormat="false" ht="14.25" hidden="false" customHeight="true" outlineLevel="0" collapsed="false">
      <c r="K30" s="33" t="s">
        <v>100</v>
      </c>
      <c r="L30" s="40" t="n">
        <f aca="false">C13*1000000/'Rent Roll'!L8</f>
        <v>50045.9445831195</v>
      </c>
      <c r="M30" s="33"/>
      <c r="N30" s="33"/>
      <c r="O30" s="33"/>
    </row>
    <row r="31" customFormat="false" ht="14.25" hidden="false" customHeight="true" outlineLevel="0" collapsed="false">
      <c r="K31" s="4" t="s">
        <v>101</v>
      </c>
      <c r="L31" s="41" t="n">
        <f aca="false">L20/C15</f>
        <v>0.399413973981189</v>
      </c>
      <c r="M31" s="4"/>
      <c r="N31" s="4"/>
      <c r="O31" s="4"/>
    </row>
    <row r="32" customFormat="false" ht="14.25" hidden="false" customHeight="true" outlineLevel="0" collapsed="false">
      <c r="K32" s="33" t="s">
        <v>102</v>
      </c>
      <c r="L32" s="42" t="n">
        <f aca="false">L27/L20</f>
        <v>0.113806849315069</v>
      </c>
      <c r="M32" s="33"/>
      <c r="N32" s="33"/>
      <c r="O32" s="33"/>
    </row>
    <row r="33" customFormat="false" ht="14.25" hidden="false" customHeight="true" outlineLevel="0" collapsed="false">
      <c r="K33" s="4" t="s">
        <v>103</v>
      </c>
      <c r="L33" s="43" t="n">
        <f aca="false">C13/L28</f>
        <v>21.9470730557738</v>
      </c>
      <c r="M33" s="4"/>
      <c r="N33" s="4"/>
      <c r="O33" s="4"/>
    </row>
    <row r="34" customFormat="false" ht="14.25" hidden="false" customHeight="true" outlineLevel="0" collapsed="false">
      <c r="K34" s="33" t="s">
        <v>104</v>
      </c>
      <c r="L34" s="40" t="n">
        <f aca="false">L21</f>
        <v>32795.8979323757</v>
      </c>
      <c r="M34" s="33"/>
      <c r="N34" s="33"/>
      <c r="O34" s="33"/>
    </row>
    <row r="35" customFormat="false" ht="14.25" hidden="false" customHeight="true" outlineLevel="0" collapsed="false">
      <c r="K35" s="10" t="s">
        <v>105</v>
      </c>
      <c r="L35" s="44" t="n">
        <f aca="false">L27/C15</f>
        <v>0.0454560459512099</v>
      </c>
      <c r="M35" s="10"/>
      <c r="N35" s="10"/>
      <c r="O35" s="10"/>
      <c r="P35" s="1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78"/>
  <sheetViews>
    <sheetView showFormulas="false" showGridLines="false" showRowColHeaders="true" showZeros="true" rightToLeft="false" tabSelected="false" showOutlineSymbols="true" defaultGridColor="true" view="normal" topLeftCell="A66" colorId="64" zoomScale="66" zoomScaleNormal="66" zoomScalePageLayoutView="100" workbookViewId="0">
      <selection pane="topLeft" activeCell="M77" activeCellId="0" sqref="M77"/>
    </sheetView>
  </sheetViews>
  <sheetFormatPr defaultColWidth="8.5390625" defaultRowHeight="14.25" zeroHeight="false" outlineLevelRow="0" outlineLevelCol="0"/>
  <cols>
    <col collapsed="false" customWidth="true" hidden="false" outlineLevel="0" max="2" min="2" style="1" width="45.18"/>
    <col collapsed="false" customWidth="true" hidden="false" outlineLevel="0" max="3" min="3" style="1" width="13.63"/>
    <col collapsed="false" customWidth="true" hidden="false" outlineLevel="0" max="4" min="4" style="1" width="9.36"/>
    <col collapsed="false" customWidth="true" hidden="false" outlineLevel="0" max="5" min="5" style="1" width="13.63"/>
    <col collapsed="false" customWidth="true" hidden="false" outlineLevel="0" max="6" min="6" style="1" width="6.91"/>
    <col collapsed="false" customWidth="true" hidden="false" outlineLevel="0" max="8" min="7" style="1" width="5.91"/>
    <col collapsed="false" customWidth="true" hidden="false" outlineLevel="0" max="9" min="9" style="1" width="6.45"/>
  </cols>
  <sheetData>
    <row r="2" customFormat="false" ht="23.25" hidden="false" customHeight="true" outlineLevel="0" collapsed="false">
      <c r="B2" s="15" t="s">
        <v>107</v>
      </c>
      <c r="C2" s="22"/>
      <c r="D2" s="22"/>
      <c r="E2" s="22"/>
      <c r="F2" s="22"/>
      <c r="G2" s="22"/>
      <c r="H2" s="22"/>
      <c r="I2" s="22"/>
    </row>
    <row r="4" customFormat="false" ht="14.25" hidden="false" customHeight="true" outlineLevel="0" collapsed="false">
      <c r="B4" s="45" t="s">
        <v>108</v>
      </c>
      <c r="C4" s="20"/>
      <c r="D4" s="20"/>
      <c r="E4" s="20"/>
      <c r="F4" s="20"/>
      <c r="G4" s="20"/>
      <c r="H4" s="20"/>
      <c r="I4" s="20"/>
    </row>
    <row r="5" customFormat="false" ht="14.25" hidden="false" customHeight="true" outlineLevel="0" collapsed="false">
      <c r="B5" s="4" t="s">
        <v>109</v>
      </c>
      <c r="C5" s="4"/>
      <c r="D5" s="34" t="n">
        <f aca="false">Assumptions!D41</f>
        <v>5</v>
      </c>
      <c r="E5" s="4"/>
      <c r="F5" s="4"/>
      <c r="G5" s="4"/>
      <c r="H5" s="4"/>
      <c r="I5" s="4"/>
    </row>
    <row r="6" customFormat="false" ht="14.25" hidden="false" customHeight="true" outlineLevel="0" collapsed="false">
      <c r="B6" s="1" t="s">
        <v>110</v>
      </c>
      <c r="D6" s="8" t="n">
        <f aca="false">Transaction!L29</f>
        <v>0.0492866076725898</v>
      </c>
    </row>
    <row r="7" customFormat="false" ht="14.25" hidden="false" customHeight="true" outlineLevel="0" collapsed="false">
      <c r="B7" s="4" t="s">
        <v>111</v>
      </c>
      <c r="C7" s="4"/>
      <c r="D7" s="34" t="n">
        <f aca="false">Assumptions!D42+Returns!D6</f>
        <v>0.0517866076725898</v>
      </c>
      <c r="E7" s="4"/>
      <c r="F7" s="23"/>
      <c r="G7" s="23"/>
      <c r="H7" s="4"/>
      <c r="I7" s="4"/>
      <c r="J7" s="46" t="s">
        <v>112</v>
      </c>
      <c r="K7" s="46"/>
    </row>
    <row r="8" customFormat="false" ht="14.25" hidden="false" customHeight="true" outlineLevel="0" collapsed="false">
      <c r="B8" s="1" t="s">
        <v>113</v>
      </c>
      <c r="D8" s="8" t="n">
        <f aca="false">Assumptions!D18</f>
        <v>0.0543</v>
      </c>
    </row>
    <row r="9" customFormat="false" ht="14.25" hidden="false" customHeight="true" outlineLevel="0" collapsed="false">
      <c r="B9" s="4" t="s">
        <v>114</v>
      </c>
      <c r="C9" s="4"/>
      <c r="D9" s="34" t="n">
        <f aca="false">Assumptions!D45</f>
        <v>0.22</v>
      </c>
      <c r="E9" s="4"/>
      <c r="F9" s="4"/>
      <c r="G9" s="4"/>
      <c r="H9" s="4"/>
      <c r="I9" s="4"/>
    </row>
    <row r="10" customFormat="false" ht="14.25" hidden="false" customHeight="true" outlineLevel="0" collapsed="false">
      <c r="B10" s="1" t="s">
        <v>115</v>
      </c>
      <c r="D10" s="47" t="n">
        <f aca="false">Assumptions!D43</f>
        <v>150</v>
      </c>
    </row>
    <row r="11" customFormat="false" ht="14.25" hidden="false" customHeight="true" outlineLevel="0" collapsed="false">
      <c r="B11" s="4" t="s">
        <v>116</v>
      </c>
      <c r="C11" s="4"/>
      <c r="D11" s="34" t="n">
        <f aca="false">Assumptions!D44</f>
        <v>0.01</v>
      </c>
      <c r="E11" s="4"/>
      <c r="F11" s="4"/>
      <c r="G11" s="4"/>
      <c r="H11" s="4"/>
      <c r="I11" s="4"/>
    </row>
    <row r="12" customFormat="false" ht="14.25" hidden="false" customHeight="true" outlineLevel="0" collapsed="false">
      <c r="B12" s="1" t="s">
        <v>117</v>
      </c>
      <c r="D12" s="18" t="n">
        <f aca="false">Transaction!L20</f>
        <v>24198.8950276243</v>
      </c>
    </row>
    <row r="13" customFormat="false" ht="14.25" hidden="false" customHeight="true" outlineLevel="0" collapsed="false">
      <c r="B13" s="4" t="s">
        <v>90</v>
      </c>
      <c r="C13" s="4"/>
      <c r="D13" s="17" t="n">
        <f aca="false">Transaction!L21</f>
        <v>32795.8979323757</v>
      </c>
      <c r="E13" s="4"/>
      <c r="F13" s="4"/>
      <c r="G13" s="4"/>
      <c r="H13" s="4"/>
      <c r="I13" s="4"/>
    </row>
    <row r="15" customFormat="false" ht="23.25" hidden="false" customHeight="true" outlineLevel="0" collapsed="false">
      <c r="B15" s="15" t="s">
        <v>118</v>
      </c>
      <c r="C15" s="15"/>
      <c r="D15" s="15"/>
      <c r="E15" s="15"/>
      <c r="F15" s="15"/>
      <c r="G15" s="15"/>
      <c r="H15" s="15"/>
      <c r="I15" s="15"/>
    </row>
    <row r="16" customFormat="false" ht="14.25" hidden="false" customHeight="true" outlineLevel="0" collapsed="false">
      <c r="B16" s="20" t="s">
        <v>119</v>
      </c>
      <c r="C16" s="20"/>
      <c r="D16" s="20" t="s">
        <v>120</v>
      </c>
      <c r="E16" s="20" t="s">
        <v>121</v>
      </c>
      <c r="F16" s="20" t="s">
        <v>122</v>
      </c>
      <c r="G16" s="20" t="s">
        <v>123</v>
      </c>
      <c r="H16" s="20" t="s">
        <v>124</v>
      </c>
      <c r="I16" s="20" t="s">
        <v>125</v>
      </c>
    </row>
    <row r="17" customFormat="false" ht="14.25" hidden="false" customHeight="true" outlineLevel="0" collapsed="false">
      <c r="B17" s="4" t="s">
        <v>126</v>
      </c>
      <c r="C17" s="4"/>
      <c r="D17" s="4"/>
      <c r="E17" s="34" t="n">
        <v>0.03</v>
      </c>
      <c r="F17" s="34" t="n">
        <v>0.032</v>
      </c>
      <c r="G17" s="34" t="n">
        <v>0.024</v>
      </c>
      <c r="H17" s="34" t="n">
        <v>0.024</v>
      </c>
      <c r="I17" s="34" t="n">
        <v>0.024</v>
      </c>
    </row>
    <row r="18" customFormat="false" ht="14.25" hidden="false" customHeight="true" outlineLevel="0" collapsed="false">
      <c r="B18" s="1" t="s">
        <v>127</v>
      </c>
      <c r="E18" s="18" t="n">
        <f aca="false">'Rent Roll'!H28*(1+Returns!E17)</f>
        <v>2836.62</v>
      </c>
      <c r="F18" s="18" t="n">
        <f aca="false">E18*(1+F17)</f>
        <v>2927.39184</v>
      </c>
      <c r="G18" s="18" t="n">
        <f aca="false">F18*(1+G17)</f>
        <v>2997.64924416</v>
      </c>
      <c r="H18" s="18" t="n">
        <f aca="false">G18*(1+H17)</f>
        <v>3069.59282601984</v>
      </c>
      <c r="I18" s="18" t="n">
        <f aca="false">H18*(1+I17)</f>
        <v>3143.26305384432</v>
      </c>
    </row>
    <row r="19" customFormat="false" ht="14.25" hidden="false" customHeight="true" outlineLevel="0" collapsed="false">
      <c r="B19" s="4" t="s">
        <v>128</v>
      </c>
      <c r="C19" s="4"/>
      <c r="D19" s="4"/>
      <c r="E19" s="17" t="n">
        <f aca="false">'Rent Roll'!H29*(1+Returns!E17)</f>
        <v>-214.24</v>
      </c>
      <c r="F19" s="17" t="n">
        <f aca="false">E19*(1+F17)</f>
        <v>-221.09568</v>
      </c>
      <c r="G19" s="17" t="n">
        <f aca="false">F19*(1+G17)</f>
        <v>-226.40197632</v>
      </c>
      <c r="H19" s="17" t="n">
        <f aca="false">G19*(1+H17)</f>
        <v>-231.83562375168</v>
      </c>
      <c r="I19" s="17" t="n">
        <f aca="false">H19*(1+I17)</f>
        <v>-237.39967872172</v>
      </c>
    </row>
    <row r="20" customFormat="false" ht="14.25" hidden="false" customHeight="true" outlineLevel="0" collapsed="false">
      <c r="B20" s="48" t="s">
        <v>129</v>
      </c>
      <c r="C20" s="48"/>
      <c r="D20" s="48"/>
      <c r="E20" s="49" t="n">
        <f aca="false">E18+E19</f>
        <v>2622.38</v>
      </c>
      <c r="F20" s="49" t="n">
        <f aca="false">F18+F19</f>
        <v>2706.29616</v>
      </c>
      <c r="G20" s="49" t="n">
        <f aca="false">G18+G19</f>
        <v>2771.24726784</v>
      </c>
      <c r="H20" s="49" t="n">
        <f aca="false">H18+H19</f>
        <v>2837.75720226816</v>
      </c>
      <c r="I20" s="49" t="n">
        <f aca="false">I18+I19</f>
        <v>2905.8633751226</v>
      </c>
    </row>
    <row r="21" customFormat="false" ht="14.25" hidden="false" customHeight="true" outlineLevel="0" collapsed="false">
      <c r="B21" s="4" t="s">
        <v>130</v>
      </c>
      <c r="C21" s="4"/>
      <c r="D21" s="4"/>
      <c r="E21" s="17" t="n">
        <f aca="false">-(D12*D8)</f>
        <v>-1314</v>
      </c>
      <c r="F21" s="17" t="n">
        <f aca="false">E21</f>
        <v>-1314</v>
      </c>
      <c r="G21" s="17" t="n">
        <f aca="false">F21</f>
        <v>-1314</v>
      </c>
      <c r="H21" s="17" t="n">
        <f aca="false">G21</f>
        <v>-1314</v>
      </c>
      <c r="I21" s="17" t="n">
        <f aca="false">H21</f>
        <v>-1314</v>
      </c>
      <c r="J21" s="24" t="s">
        <v>131</v>
      </c>
      <c r="K21" s="24"/>
      <c r="L21" s="24"/>
      <c r="M21" s="24"/>
      <c r="N21" s="24"/>
    </row>
    <row r="22" customFormat="false" ht="14.25" hidden="false" customHeight="true" outlineLevel="0" collapsed="false">
      <c r="B22" s="1" t="s">
        <v>132</v>
      </c>
      <c r="E22" s="18" t="n">
        <f aca="false">-(D10*'Rent Roll'!L8/1000000*(1+E17))</f>
        <v>-172.5021855</v>
      </c>
      <c r="F22" s="18" t="n">
        <f aca="false">E22*(1+F17)</f>
        <v>-178.022255436</v>
      </c>
      <c r="G22" s="18" t="n">
        <f aca="false">F22*(1+G17)</f>
        <v>-182.294789566464</v>
      </c>
      <c r="H22" s="18" t="n">
        <f aca="false">G22*(1+H17)</f>
        <v>-186.669864516059</v>
      </c>
      <c r="I22" s="18" t="n">
        <f aca="false">H22*(1+I17)</f>
        <v>-191.149941264445</v>
      </c>
    </row>
    <row r="23" customFormat="false" ht="14.25" hidden="false" customHeight="true" outlineLevel="0" collapsed="false">
      <c r="B23" s="4" t="s">
        <v>133</v>
      </c>
      <c r="C23" s="4"/>
      <c r="D23" s="4"/>
      <c r="E23" s="17" t="n">
        <f aca="false">-MAX(0,E20+E21)*D9</f>
        <v>-287.8436</v>
      </c>
      <c r="F23" s="17" t="n">
        <f aca="false">-MAX(0,F20+F21)*D9</f>
        <v>-306.3051552</v>
      </c>
      <c r="G23" s="17" t="n">
        <f aca="false">-MAX(0,G20+G21)*D9</f>
        <v>-320.5943989248</v>
      </c>
      <c r="H23" s="17" t="n">
        <f aca="false">-MAX(0,H20+H21)*D9</f>
        <v>-335.226584498995</v>
      </c>
      <c r="I23" s="17" t="n">
        <f aca="false">-MAX(0,I20+I21)*D9</f>
        <v>-350.209942526971</v>
      </c>
    </row>
    <row r="24" customFormat="false" ht="14.25" hidden="false" customHeight="true" outlineLevel="0" collapsed="false">
      <c r="B24" s="4" t="s">
        <v>134</v>
      </c>
      <c r="C24" s="4"/>
      <c r="D24" s="4"/>
      <c r="E24" s="4" t="n">
        <v>0</v>
      </c>
      <c r="F24" s="4" t="n">
        <v>0</v>
      </c>
      <c r="G24" s="4" t="n">
        <v>0</v>
      </c>
      <c r="H24" s="4" t="n">
        <f aca="false">-$D$12*Assumptions!$D$46</f>
        <v>-0</v>
      </c>
      <c r="I24" s="4" t="n">
        <v>0</v>
      </c>
    </row>
    <row r="25" customFormat="false" ht="14.25" hidden="false" customHeight="true" outlineLevel="0" collapsed="false">
      <c r="B25" s="48" t="s">
        <v>135</v>
      </c>
      <c r="C25" s="48"/>
      <c r="D25" s="48"/>
      <c r="E25" s="49" t="n">
        <f aca="false">SUM(E20:E24)</f>
        <v>848.0342145</v>
      </c>
      <c r="F25" s="49" t="n">
        <f aca="false">SUM(F20:F24)</f>
        <v>907.968749364</v>
      </c>
      <c r="G25" s="49" t="n">
        <f aca="false">SUM(G20:G24)</f>
        <v>954.358079348736</v>
      </c>
      <c r="H25" s="49" t="n">
        <f aca="false">SUM(H20:H24)</f>
        <v>1001.86075325311</v>
      </c>
      <c r="I25" s="49" t="n">
        <f aca="false">SUM(I20:I24)</f>
        <v>1050.50349133118</v>
      </c>
    </row>
    <row r="26" customFormat="false" ht="23.25" hidden="false" customHeight="true" outlineLevel="0" collapsed="false">
      <c r="B26" s="15" t="s">
        <v>136</v>
      </c>
      <c r="C26" s="15"/>
      <c r="D26" s="15"/>
      <c r="E26" s="15"/>
      <c r="F26" s="15"/>
      <c r="G26" s="15"/>
      <c r="H26" s="15"/>
      <c r="I26" s="15"/>
    </row>
    <row r="27" customFormat="false" ht="14.25" hidden="false" customHeight="true" outlineLevel="0" collapsed="false">
      <c r="B27" s="1" t="s">
        <v>119</v>
      </c>
    </row>
    <row r="28" customFormat="false" ht="14.25" hidden="false" customHeight="true" outlineLevel="0" collapsed="false">
      <c r="B28" s="4" t="s">
        <v>137</v>
      </c>
      <c r="C28" s="4"/>
      <c r="D28" s="4"/>
      <c r="E28" s="4"/>
      <c r="F28" s="4"/>
      <c r="G28" s="4"/>
      <c r="H28" s="4"/>
      <c r="I28" s="17" t="n">
        <f aca="false">I18</f>
        <v>3143.26305384432</v>
      </c>
    </row>
    <row r="29" customFormat="false" ht="14.25" hidden="false" customHeight="true" outlineLevel="0" collapsed="false">
      <c r="B29" s="1" t="s">
        <v>138</v>
      </c>
      <c r="I29" s="18" t="n">
        <f aca="false">I28/D7</f>
        <v>60696.4463422079</v>
      </c>
    </row>
    <row r="30" customFormat="false" ht="14.25" hidden="false" customHeight="true" outlineLevel="0" collapsed="false">
      <c r="B30" s="4" t="s">
        <v>139</v>
      </c>
      <c r="C30" s="4"/>
      <c r="D30" s="4"/>
      <c r="E30" s="4"/>
      <c r="F30" s="4"/>
      <c r="G30" s="4"/>
      <c r="H30" s="4"/>
      <c r="I30" s="17" t="n">
        <f aca="false">-I29*$D$11</f>
        <v>-606.964463422079</v>
      </c>
    </row>
    <row r="31" customFormat="false" ht="14.25" hidden="false" customHeight="true" outlineLevel="0" collapsed="false">
      <c r="B31" s="1" t="s">
        <v>140</v>
      </c>
      <c r="I31" s="18" t="n">
        <f aca="false">-($D$12+SUM(E24:I24))</f>
        <v>-24198.8950276243</v>
      </c>
    </row>
    <row r="32" customFormat="false" ht="14.25" hidden="false" customHeight="true" outlineLevel="0" collapsed="false">
      <c r="B32" s="48" t="s">
        <v>141</v>
      </c>
      <c r="C32" s="48"/>
      <c r="D32" s="48"/>
      <c r="E32" s="48"/>
      <c r="F32" s="48"/>
      <c r="G32" s="48"/>
      <c r="H32" s="48"/>
      <c r="I32" s="49" t="n">
        <f aca="false">SUM(I29:I31)</f>
        <v>35890.5868511615</v>
      </c>
    </row>
    <row r="34" customFormat="false" ht="23.25" hidden="false" customHeight="true" outlineLevel="0" collapsed="false">
      <c r="B34" s="15" t="s">
        <v>142</v>
      </c>
      <c r="C34" s="15"/>
      <c r="D34" s="15"/>
      <c r="E34" s="15"/>
      <c r="F34" s="15"/>
      <c r="G34" s="15"/>
      <c r="H34" s="15"/>
      <c r="I34" s="15"/>
    </row>
    <row r="35" customFormat="false" ht="14.25" hidden="false" customHeight="true" outlineLevel="0" collapsed="false">
      <c r="B35" s="45" t="s">
        <v>119</v>
      </c>
      <c r="C35" s="20" t="s">
        <v>120</v>
      </c>
      <c r="D35" s="20" t="s">
        <v>121</v>
      </c>
      <c r="E35" s="20" t="s">
        <v>122</v>
      </c>
      <c r="F35" s="20" t="s">
        <v>123</v>
      </c>
      <c r="G35" s="20" t="s">
        <v>124</v>
      </c>
      <c r="H35" s="20" t="s">
        <v>125</v>
      </c>
      <c r="I35" s="20"/>
    </row>
    <row r="36" customFormat="false" ht="14.25" hidden="false" customHeight="true" outlineLevel="0" collapsed="false">
      <c r="B36" s="48" t="s">
        <v>143</v>
      </c>
      <c r="C36" s="49" t="n">
        <f aca="false">-D13</f>
        <v>-32795.8979323757</v>
      </c>
      <c r="D36" s="49" t="n">
        <f aca="false">E25</f>
        <v>848.0342145</v>
      </c>
      <c r="E36" s="49" t="n">
        <f aca="false">F25</f>
        <v>907.968749364</v>
      </c>
      <c r="F36" s="49" t="n">
        <f aca="false">G25</f>
        <v>954.358079348736</v>
      </c>
      <c r="G36" s="49" t="n">
        <f aca="false">H25</f>
        <v>1001.86075325311</v>
      </c>
      <c r="H36" s="49" t="n">
        <f aca="false">I25+I32</f>
        <v>36941.0903424927</v>
      </c>
      <c r="I36" s="48"/>
    </row>
    <row r="38" customFormat="false" ht="14.25" hidden="false" customHeight="true" outlineLevel="0" collapsed="false">
      <c r="B38" s="4" t="s">
        <v>144</v>
      </c>
      <c r="C38" s="34" t="n">
        <f aca="false">IRR(C36:H36)</f>
        <v>0.0461175995809981</v>
      </c>
      <c r="D38" s="4"/>
      <c r="E38" s="4"/>
      <c r="F38" s="4"/>
      <c r="G38" s="4"/>
      <c r="H38" s="4"/>
      <c r="I38" s="4"/>
    </row>
    <row r="39" customFormat="false" ht="14.25" hidden="false" customHeight="true" outlineLevel="0" collapsed="false">
      <c r="B39" s="1" t="s">
        <v>145</v>
      </c>
      <c r="C39" s="1" t="n">
        <f aca="false">SUM(D36:H36)/-C36</f>
        <v>1.23958527443843</v>
      </c>
    </row>
    <row r="40" customFormat="false" ht="14.25" hidden="false" customHeight="true" outlineLevel="0" collapsed="false">
      <c r="B40" s="4" t="s">
        <v>146</v>
      </c>
      <c r="C40" s="34" t="n">
        <f aca="false">E25/-C36</f>
        <v>0.0258579355335422</v>
      </c>
      <c r="D40" s="4"/>
      <c r="E40" s="4"/>
      <c r="F40" s="4"/>
      <c r="G40" s="4"/>
      <c r="H40" s="4"/>
      <c r="I40" s="4"/>
    </row>
    <row r="42" customFormat="false" ht="23.25" hidden="false" customHeight="true" outlineLevel="0" collapsed="false">
      <c r="B42" s="15" t="s">
        <v>147</v>
      </c>
      <c r="C42" s="15"/>
      <c r="D42" s="15"/>
      <c r="E42" s="15"/>
      <c r="F42" s="15"/>
      <c r="G42" s="15"/>
      <c r="H42" s="15"/>
      <c r="I42" s="15"/>
    </row>
    <row r="43" customFormat="false" ht="14.25" hidden="false" customHeight="true" outlineLevel="0" collapsed="false">
      <c r="B43" s="20" t="s">
        <v>148</v>
      </c>
      <c r="C43" s="20" t="s">
        <v>149</v>
      </c>
      <c r="D43" s="20"/>
      <c r="E43" s="20" t="s">
        <v>150</v>
      </c>
      <c r="F43" s="20" t="s">
        <v>151</v>
      </c>
      <c r="G43" s="20"/>
      <c r="H43" s="20"/>
      <c r="I43" s="20"/>
    </row>
    <row r="44" customFormat="false" ht="14.25" hidden="false" customHeight="true" outlineLevel="0" collapsed="false">
      <c r="B44" s="4" t="s">
        <v>152</v>
      </c>
      <c r="C44" s="17" t="n">
        <f aca="false">D12</f>
        <v>24198.8950276243</v>
      </c>
      <c r="D44" s="4"/>
      <c r="E44" s="4" t="n">
        <v>21000</v>
      </c>
      <c r="F44" s="4" t="n">
        <v>15000</v>
      </c>
      <c r="G44" s="4"/>
      <c r="H44" s="4"/>
      <c r="I44" s="4"/>
    </row>
    <row r="45" customFormat="false" ht="14.25" hidden="false" customHeight="true" outlineLevel="0" collapsed="false">
      <c r="B45" s="1" t="s">
        <v>153</v>
      </c>
      <c r="C45" s="18" t="n">
        <f aca="false">D13</f>
        <v>32795.8979323757</v>
      </c>
      <c r="E45" s="18" t="n">
        <f aca="false">Transaction!L10-Returns!E44</f>
        <v>35994.79296</v>
      </c>
      <c r="F45" s="18" t="n">
        <f aca="false">Transaction!L10-Returns!F44</f>
        <v>41994.79296</v>
      </c>
    </row>
    <row r="46" customFormat="false" ht="14.25" hidden="false" customHeight="true" outlineLevel="0" collapsed="false">
      <c r="B46" s="4" t="s">
        <v>154</v>
      </c>
      <c r="C46" s="34" t="n">
        <f aca="false">C44/Transaction!C15</f>
        <v>0.399413973981189</v>
      </c>
      <c r="D46" s="34"/>
      <c r="E46" s="34" t="n">
        <f aca="false">E44/Transaction!C15</f>
        <v>0.346614729475456</v>
      </c>
      <c r="F46" s="34" t="n">
        <f aca="false">F44/Transaction!C15</f>
        <v>0.247581949625326</v>
      </c>
      <c r="G46" s="4"/>
      <c r="H46" s="4"/>
      <c r="I46" s="4"/>
    </row>
    <row r="47" customFormat="false" ht="14.25" hidden="false" customHeight="true" outlineLevel="0" collapsed="false">
      <c r="B47" s="1" t="s">
        <v>155</v>
      </c>
      <c r="C47" s="1" t="n">
        <f aca="false">-C44*D8</f>
        <v>-1314</v>
      </c>
      <c r="E47" s="1" t="n">
        <f aca="false">-(E44*D8)</f>
        <v>-1140.3</v>
      </c>
      <c r="F47" s="1" t="n">
        <f aca="false">-(F44*D8)</f>
        <v>-814.5</v>
      </c>
    </row>
    <row r="48" customFormat="false" ht="14.25" hidden="false" customHeight="true" outlineLevel="0" collapsed="false">
      <c r="B48" s="4" t="s">
        <v>156</v>
      </c>
      <c r="C48" s="17" t="n">
        <f aca="false">-C45</f>
        <v>-32795.8979323757</v>
      </c>
      <c r="D48" s="4"/>
      <c r="E48" s="17" t="n">
        <f aca="false">-E45</f>
        <v>-35994.79296</v>
      </c>
      <c r="F48" s="17" t="n">
        <f aca="false">-F45</f>
        <v>-41994.79296</v>
      </c>
      <c r="G48" s="4"/>
      <c r="H48" s="4"/>
      <c r="I48" s="4"/>
    </row>
    <row r="49" customFormat="false" ht="14.25" hidden="false" customHeight="true" outlineLevel="0" collapsed="false">
      <c r="B49" s="1" t="s">
        <v>121</v>
      </c>
      <c r="C49" s="18" t="n">
        <f aca="false">E25</f>
        <v>848.0342145</v>
      </c>
      <c r="D49" s="18"/>
      <c r="E49" s="18" t="n">
        <f aca="false">$E$20+E$47+$E$22-MAX(0,$E$20+E$47)*$D$9</f>
        <v>983.5202145</v>
      </c>
      <c r="F49" s="18" t="n">
        <f aca="false">$E$20+F$47+$E$22-MAX(0,$E$20+F$47)*$D$9</f>
        <v>1237.6442145</v>
      </c>
    </row>
    <row r="50" customFormat="false" ht="14.25" hidden="false" customHeight="true" outlineLevel="0" collapsed="false">
      <c r="B50" s="4" t="s">
        <v>122</v>
      </c>
      <c r="C50" s="17" t="n">
        <f aca="false">F25</f>
        <v>907.968749364</v>
      </c>
      <c r="D50" s="17"/>
      <c r="E50" s="17" t="n">
        <f aca="false">$F$20+E$47+$F$22-MAX(0,$F$20+E$47)*$D$9</f>
        <v>1043.454749364</v>
      </c>
      <c r="F50" s="17" t="n">
        <f aca="false">$F$20+F$47+$F$22-MAX(0,$F$20+F$47)*$D$9</f>
        <v>1297.578749364</v>
      </c>
      <c r="G50" s="4"/>
      <c r="H50" s="4"/>
      <c r="I50" s="4"/>
    </row>
    <row r="51" customFormat="false" ht="14.25" hidden="false" customHeight="true" outlineLevel="0" collapsed="false">
      <c r="B51" s="1" t="s">
        <v>123</v>
      </c>
      <c r="C51" s="18" t="n">
        <f aca="false">G25</f>
        <v>954.358079348736</v>
      </c>
      <c r="D51" s="18"/>
      <c r="E51" s="18" t="n">
        <f aca="false">$G$20+E$47+$G$22-MAX(0,$G$20+E$47)*$D$9</f>
        <v>1089.84407934874</v>
      </c>
      <c r="F51" s="18" t="n">
        <f aca="false">$G$20+F$47+$G$22-MAX(0,$G$20+F$47)*$D$9</f>
        <v>1343.96807934874</v>
      </c>
    </row>
    <row r="52" customFormat="false" ht="14.25" hidden="false" customHeight="true" outlineLevel="0" collapsed="false">
      <c r="B52" s="4" t="s">
        <v>124</v>
      </c>
      <c r="C52" s="17" t="n">
        <f aca="false">H25</f>
        <v>1001.86075325311</v>
      </c>
      <c r="D52" s="17"/>
      <c r="E52" s="17" t="n">
        <f aca="false">$H$20+E$47+$H$22-MAX(0,$H$20+E$47)*$D$9</f>
        <v>1137.34675325311</v>
      </c>
      <c r="F52" s="17" t="n">
        <f aca="false">$H$20+F$47+$H$22-MAX(0,$H$20+F$47)*$D$9</f>
        <v>1391.47075325311</v>
      </c>
      <c r="G52" s="4"/>
      <c r="H52" s="4"/>
      <c r="I52" s="4"/>
    </row>
    <row r="53" customFormat="false" ht="14.25" hidden="false" customHeight="true" outlineLevel="0" collapsed="false">
      <c r="B53" s="1" t="s">
        <v>157</v>
      </c>
      <c r="C53" s="18" t="n">
        <f aca="false">$I$20+C$47+$I$22-MAX(0,$I$20+C$47)*$D$9+$I$29+$I$30-C$44</f>
        <v>36941.0903424927</v>
      </c>
      <c r="D53" s="18"/>
      <c r="E53" s="18" t="n">
        <f aca="false">$I$20+E$47+$I$22-MAX(0,$I$20+E$47)*$D$9+$I$29+$I$30-E$44</f>
        <v>40275.471370117</v>
      </c>
      <c r="F53" s="18" t="n">
        <f aca="false">$I$20+F$47+$I$22-MAX(0,$I$20+F$47)*$D$9+$I$29+$I$30-F$44</f>
        <v>46529.595370117</v>
      </c>
    </row>
    <row r="54" customFormat="false" ht="14.25" hidden="false" customHeight="true" outlineLevel="0" collapsed="false">
      <c r="B54" s="48" t="s">
        <v>144</v>
      </c>
      <c r="C54" s="50" t="n">
        <f aca="false">IRR(C48:C53)</f>
        <v>0.0461175995809981</v>
      </c>
      <c r="D54" s="50"/>
      <c r="E54" s="50" t="n">
        <f aca="false">IRR(E48:E53)</f>
        <v>0.04579411889474</v>
      </c>
      <c r="F54" s="50" t="n">
        <f aca="false">IRR(F48:F53)</f>
        <v>0.0453165361368845</v>
      </c>
      <c r="G54" s="48"/>
      <c r="H54" s="48"/>
      <c r="I54" s="48"/>
      <c r="J54" s="1" t="s">
        <v>158</v>
      </c>
      <c r="L54" s="24" t="s">
        <v>159</v>
      </c>
      <c r="M54" s="24"/>
      <c r="N54" s="24"/>
      <c r="O54" s="24"/>
      <c r="P54" s="24"/>
      <c r="Q54" s="24"/>
      <c r="R54" s="24"/>
      <c r="S54" s="24"/>
      <c r="T54" s="24"/>
      <c r="U54" s="24"/>
    </row>
    <row r="55" customFormat="false" ht="14.25" hidden="false" customHeight="true" outlineLevel="0" collapsed="false">
      <c r="B55" s="48" t="s">
        <v>145</v>
      </c>
      <c r="C55" s="51" t="n">
        <f aca="false">SUM(C49:C53)/-C48</f>
        <v>1.23958527443843</v>
      </c>
      <c r="D55" s="51"/>
      <c r="E55" s="51" t="n">
        <f aca="false">SUM(E49:E53)/-E48</f>
        <v>1.23711330180639</v>
      </c>
      <c r="F55" s="51" t="n">
        <f aca="false">SUM(F49:F53)/-F48</f>
        <v>1.23349238120837</v>
      </c>
      <c r="G55" s="48"/>
      <c r="H55" s="48"/>
      <c r="I55" s="48"/>
    </row>
    <row r="57" customFormat="false" ht="23.25" hidden="false" customHeight="true" outlineLevel="0" collapsed="false">
      <c r="B57" s="15" t="s">
        <v>160</v>
      </c>
      <c r="C57" s="15"/>
      <c r="D57" s="15"/>
      <c r="E57" s="15"/>
      <c r="F57" s="15"/>
      <c r="G57" s="15"/>
      <c r="H57" s="15"/>
      <c r="I57" s="15"/>
    </row>
    <row r="58" customFormat="false" ht="14.25" hidden="false" customHeight="true" outlineLevel="0" collapsed="false">
      <c r="B58" s="20" t="s">
        <v>160</v>
      </c>
      <c r="C58" s="20" t="s">
        <v>161</v>
      </c>
      <c r="D58" s="20" t="s">
        <v>162</v>
      </c>
      <c r="E58" s="20" t="s">
        <v>163</v>
      </c>
      <c r="F58" s="20"/>
      <c r="G58" s="20"/>
      <c r="H58" s="20"/>
      <c r="I58" s="20"/>
    </row>
    <row r="59" customFormat="false" ht="14.25" hidden="false" customHeight="true" outlineLevel="0" collapsed="false">
      <c r="B59" s="4" t="s">
        <v>119</v>
      </c>
      <c r="C59" s="34" t="n">
        <f aca="false">Transaction!L35+Assumptions!D42</f>
        <v>0.0479560459512099</v>
      </c>
      <c r="D59" s="34" t="n">
        <f aca="false">D7</f>
        <v>0.0517866076725898</v>
      </c>
      <c r="E59" s="34" t="n">
        <v>0.055</v>
      </c>
      <c r="F59" s="4"/>
      <c r="G59" s="4"/>
      <c r="H59" s="4"/>
      <c r="I59" s="4"/>
      <c r="L59" s="24" t="s">
        <v>164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customFormat="false" ht="14.25" hidden="false" customHeight="true" outlineLevel="0" collapsed="false">
      <c r="B60" s="1" t="s">
        <v>138</v>
      </c>
      <c r="C60" s="18" t="n">
        <f aca="false">I28/C59</f>
        <v>65544.6668193256</v>
      </c>
      <c r="D60" s="18" t="n">
        <f aca="false">I28/D59</f>
        <v>60696.4463422079</v>
      </c>
      <c r="E60" s="18" t="n">
        <f aca="false">I28/E59</f>
        <v>57150.2373426239</v>
      </c>
    </row>
    <row r="61" customFormat="false" ht="14.25" hidden="false" customHeight="true" outlineLevel="0" collapsed="false">
      <c r="B61" s="1" t="s">
        <v>141</v>
      </c>
      <c r="C61" s="18" t="n">
        <f aca="false">C60*(1-$D$11)-$D$12</f>
        <v>40690.325123508</v>
      </c>
      <c r="D61" s="18" t="n">
        <f aca="false">D60*(1-$D$11)-$D$12</f>
        <v>35890.5868511615</v>
      </c>
      <c r="E61" s="18" t="n">
        <f aca="false">E60*(1-$D$11)-$D$12</f>
        <v>32379.8399415734</v>
      </c>
    </row>
    <row r="62" customFormat="false" ht="14.25" hidden="false" customHeight="true" outlineLevel="0" collapsed="false">
      <c r="B62" s="4" t="s">
        <v>156</v>
      </c>
      <c r="C62" s="17" t="n">
        <f aca="false">-D13</f>
        <v>-32795.8979323757</v>
      </c>
      <c r="D62" s="17" t="n">
        <f aca="false">C62</f>
        <v>-32795.8979323757</v>
      </c>
      <c r="E62" s="17" t="n">
        <f aca="false">D62</f>
        <v>-32795.8979323757</v>
      </c>
      <c r="F62" s="4"/>
      <c r="G62" s="4"/>
      <c r="H62" s="4"/>
      <c r="I62" s="4"/>
    </row>
    <row r="63" customFormat="false" ht="14.25" hidden="false" customHeight="true" outlineLevel="0" collapsed="false">
      <c r="B63" s="1" t="s">
        <v>121</v>
      </c>
      <c r="C63" s="18" t="n">
        <f aca="false">C49</f>
        <v>848.0342145</v>
      </c>
      <c r="D63" s="18" t="n">
        <f aca="false">C63</f>
        <v>848.0342145</v>
      </c>
      <c r="E63" s="18" t="n">
        <f aca="false">D63</f>
        <v>848.0342145</v>
      </c>
    </row>
    <row r="64" customFormat="false" ht="14.25" hidden="false" customHeight="true" outlineLevel="0" collapsed="false">
      <c r="B64" s="4" t="s">
        <v>122</v>
      </c>
      <c r="C64" s="17" t="n">
        <f aca="false">C50</f>
        <v>907.968749364</v>
      </c>
      <c r="D64" s="17" t="n">
        <f aca="false">C64</f>
        <v>907.968749364</v>
      </c>
      <c r="E64" s="17" t="n">
        <f aca="false">D64</f>
        <v>907.968749364</v>
      </c>
      <c r="F64" s="4"/>
      <c r="G64" s="4"/>
      <c r="H64" s="4"/>
      <c r="I64" s="4"/>
    </row>
    <row r="65" customFormat="false" ht="14.25" hidden="false" customHeight="true" outlineLevel="0" collapsed="false">
      <c r="B65" s="1" t="s">
        <v>123</v>
      </c>
      <c r="C65" s="18" t="n">
        <f aca="false">C51</f>
        <v>954.358079348736</v>
      </c>
      <c r="D65" s="18" t="n">
        <f aca="false">C65</f>
        <v>954.358079348736</v>
      </c>
      <c r="E65" s="18" t="n">
        <f aca="false">D65</f>
        <v>954.358079348736</v>
      </c>
    </row>
    <row r="66" customFormat="false" ht="14.25" hidden="false" customHeight="true" outlineLevel="0" collapsed="false">
      <c r="B66" s="4" t="s">
        <v>124</v>
      </c>
      <c r="C66" s="17" t="n">
        <f aca="false">C52</f>
        <v>1001.86075325311</v>
      </c>
      <c r="D66" s="17" t="n">
        <f aca="false">C66</f>
        <v>1001.86075325311</v>
      </c>
      <c r="E66" s="17" t="n">
        <f aca="false">D66</f>
        <v>1001.86075325311</v>
      </c>
      <c r="F66" s="4"/>
      <c r="G66" s="4"/>
      <c r="H66" s="4"/>
      <c r="I66" s="4"/>
    </row>
    <row r="67" customFormat="false" ht="14.25" hidden="false" customHeight="true" outlineLevel="0" collapsed="false">
      <c r="B67" s="1" t="s">
        <v>157</v>
      </c>
      <c r="C67" s="18" t="n">
        <f aca="false">I25+C61</f>
        <v>41740.8286148392</v>
      </c>
      <c r="D67" s="18" t="n">
        <f aca="false">I25+D61</f>
        <v>36941.0903424927</v>
      </c>
      <c r="E67" s="18" t="n">
        <f aca="false">I25+E61</f>
        <v>33430.3434329046</v>
      </c>
    </row>
    <row r="68" customFormat="false" ht="14.25" hidden="false" customHeight="true" outlineLevel="0" collapsed="false">
      <c r="B68" s="48" t="s">
        <v>144</v>
      </c>
      <c r="C68" s="52" t="n">
        <f aca="false">IRR(C62:C67)</f>
        <v>0.0706414648739398</v>
      </c>
      <c r="D68" s="52" t="n">
        <f aca="false">IRR(D62:D67)</f>
        <v>0.0461175995809981</v>
      </c>
      <c r="E68" s="52" t="n">
        <f aca="false">IRR(E62:E67)</f>
        <v>0.0265588654419335</v>
      </c>
      <c r="F68" s="48"/>
      <c r="G68" s="48"/>
      <c r="H68" s="48"/>
      <c r="I68" s="48"/>
    </row>
    <row r="69" customFormat="false" ht="14.25" hidden="false" customHeight="true" outlineLevel="0" collapsed="false">
      <c r="B69" s="48" t="s">
        <v>145</v>
      </c>
      <c r="C69" s="51" t="n">
        <f aca="false">SUM(C63:C67)/-C62</f>
        <v>1.38593706155044</v>
      </c>
      <c r="D69" s="51" t="n">
        <f aca="false">SUM(D63:D67)/-D62</f>
        <v>1.23958527443843</v>
      </c>
      <c r="E69" s="51" t="n">
        <f aca="false">SUM(E63:E67)/-E62</f>
        <v>1.13253691989033</v>
      </c>
      <c r="F69" s="48"/>
      <c r="G69" s="48"/>
      <c r="H69" s="48"/>
      <c r="I69" s="48"/>
      <c r="L69" s="24" t="s">
        <v>165</v>
      </c>
      <c r="M69" s="24"/>
      <c r="N69" s="24"/>
      <c r="O69" s="24"/>
    </row>
    <row r="72" customFormat="false" ht="23.25" hidden="false" customHeight="true" outlineLevel="0" collapsed="false">
      <c r="B72" s="53" t="s">
        <v>166</v>
      </c>
      <c r="C72" s="53"/>
      <c r="D72" s="53"/>
      <c r="E72" s="53"/>
      <c r="F72" s="53"/>
      <c r="G72" s="53"/>
      <c r="H72" s="53"/>
      <c r="I72" s="53"/>
    </row>
    <row r="73" customFormat="false" ht="14.25" hidden="false" customHeight="true" outlineLevel="0" collapsed="false">
      <c r="B73" s="20" t="s">
        <v>167</v>
      </c>
      <c r="C73" s="20" t="s">
        <v>120</v>
      </c>
      <c r="D73" s="20" t="s">
        <v>121</v>
      </c>
      <c r="E73" s="20" t="s">
        <v>121</v>
      </c>
      <c r="F73" s="20" t="s">
        <v>122</v>
      </c>
      <c r="G73" s="20" t="s">
        <v>123</v>
      </c>
      <c r="H73" s="20" t="s">
        <v>124</v>
      </c>
      <c r="I73" s="20" t="s">
        <v>125</v>
      </c>
    </row>
    <row r="74" customFormat="false" ht="14.25" hidden="false" customHeight="true" outlineLevel="0" collapsed="false">
      <c r="B74" s="4" t="s">
        <v>168</v>
      </c>
      <c r="C74" s="4"/>
      <c r="D74" s="54" t="n">
        <f aca="false">E20/-E21</f>
        <v>1.99572298325723</v>
      </c>
      <c r="E74" s="55" t="n">
        <f aca="false">E20/-E21</f>
        <v>1.99572298325723</v>
      </c>
      <c r="F74" s="55" t="n">
        <f aca="false">F20/-F21</f>
        <v>2.05958611872146</v>
      </c>
      <c r="G74" s="55" t="n">
        <f aca="false">G20/-G21</f>
        <v>2.10901618557078</v>
      </c>
      <c r="H74" s="55" t="n">
        <f aca="false">H20/-H21</f>
        <v>2.15963257402448</v>
      </c>
      <c r="I74" s="55" t="n">
        <f aca="false">I20/-I21</f>
        <v>2.21146375580106</v>
      </c>
    </row>
    <row r="75" customFormat="false" ht="14.25" hidden="false" customHeight="true" outlineLevel="0" collapsed="false">
      <c r="B75" s="1" t="s">
        <v>169</v>
      </c>
      <c r="D75" s="47" t="n">
        <f aca="false">E20/(-E21+E24)</f>
        <v>1.99572298325723</v>
      </c>
      <c r="E75" s="56" t="n">
        <f aca="false">E20/(-E21-E24)</f>
        <v>1.99572298325723</v>
      </c>
      <c r="F75" s="56" t="n">
        <f aca="false">F20/(-F21-F24)</f>
        <v>2.05958611872146</v>
      </c>
      <c r="G75" s="56" t="n">
        <f aca="false">G20/(-G21-G24)</f>
        <v>2.10901618557078</v>
      </c>
      <c r="H75" s="56" t="n">
        <f aca="false">H20/(-H21-H24)</f>
        <v>2.15963257402448</v>
      </c>
      <c r="I75" s="57" t="n">
        <f aca="false">I20/(-I21-I24)</f>
        <v>2.21146375580106</v>
      </c>
    </row>
    <row r="76" customFormat="false" ht="14.25" hidden="false" customHeight="true" outlineLevel="0" collapsed="false">
      <c r="B76" s="4" t="s">
        <v>170</v>
      </c>
      <c r="C76" s="4"/>
      <c r="D76" s="43" t="n">
        <f aca="false">Assumptions!D38</f>
        <v>2</v>
      </c>
      <c r="E76" s="55" t="n">
        <f aca="false">Assumptions!$D$38</f>
        <v>2</v>
      </c>
      <c r="F76" s="55" t="n">
        <f aca="false">Assumptions!$D$38</f>
        <v>2</v>
      </c>
      <c r="G76" s="55" t="n">
        <f aca="false">Assumptions!$D$38</f>
        <v>2</v>
      </c>
      <c r="H76" s="55" t="n">
        <f aca="false">Assumptions!$D$38</f>
        <v>2</v>
      </c>
      <c r="I76" s="55" t="n">
        <f aca="false">Assumptions!$D$38</f>
        <v>2</v>
      </c>
    </row>
    <row r="77" customFormat="false" ht="14.25" hidden="false" customHeight="true" outlineLevel="0" collapsed="false">
      <c r="B77" s="1" t="s">
        <v>171</v>
      </c>
      <c r="D77" s="47" t="n">
        <f aca="false">D74-D76</f>
        <v>-0.00427701674277015</v>
      </c>
      <c r="E77" s="56" t="n">
        <f aca="false">E74-E76</f>
        <v>-0.00427701674277015</v>
      </c>
      <c r="F77" s="56" t="n">
        <f aca="false">F74-F76</f>
        <v>0.059586118721461</v>
      </c>
      <c r="G77" s="56" t="n">
        <f aca="false">G74-G76</f>
        <v>0.109016185570776</v>
      </c>
      <c r="H77" s="56" t="n">
        <f aca="false">H74-H76</f>
        <v>0.159632574024475</v>
      </c>
      <c r="I77" s="57" t="n">
        <f aca="false">I74-I76</f>
        <v>0.211463755801062</v>
      </c>
    </row>
    <row r="78" customFormat="false" ht="14.25" hidden="false" customHeight="true" outlineLevel="0" collapsed="false">
      <c r="B78" s="48" t="s">
        <v>172</v>
      </c>
      <c r="C78" s="48"/>
      <c r="D78" s="48" t="s">
        <v>173</v>
      </c>
      <c r="E78" s="48" t="str">
        <f aca="false">IF(E74&gt;=E76,"Pass","BREACH")</f>
        <v>BREACH</v>
      </c>
      <c r="F78" s="48" t="str">
        <f aca="false">IF(F74&gt;=F76,"Pass","BREACH")</f>
        <v>Pass</v>
      </c>
      <c r="G78" s="48" t="str">
        <f aca="false">IF(G74&gt;=G76,"Pass","BREACH")</f>
        <v>Pass</v>
      </c>
      <c r="H78" s="48" t="str">
        <f aca="false">IF(H74&gt;=H76,"Pass","BREACH")</f>
        <v>Pass</v>
      </c>
      <c r="I78" s="58" t="str">
        <f aca="false">IF(I74&gt;=I76,"Pass","BREACH")</f>
        <v>Pass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false" showRowColHeaders="true" showZeros="true" rightToLeft="false" tabSelected="false" showOutlineSymbols="true" defaultGridColor="true" view="normal" topLeftCell="B46" colorId="64" zoomScale="78" zoomScaleNormal="78" zoomScalePageLayoutView="100" workbookViewId="0">
      <selection pane="topLeft" activeCell="C60" activeCellId="0" sqref="C60"/>
    </sheetView>
  </sheetViews>
  <sheetFormatPr defaultColWidth="8.54296875" defaultRowHeight="14.25" zeroHeight="false" outlineLevelRow="0" outlineLevelCol="0"/>
  <cols>
    <col collapsed="false" customWidth="true" hidden="false" outlineLevel="0" max="2" min="1" style="1" width="28.36"/>
    <col collapsed="false" customWidth="true" hidden="false" outlineLevel="0" max="3" min="3" style="1" width="102.45"/>
    <col collapsed="false" customWidth="true" hidden="false" outlineLevel="0" max="4" min="4" style="1" width="30.09"/>
    <col collapsed="false" customWidth="true" hidden="false" outlineLevel="0" max="5" min="5" style="1" width="15.91"/>
    <col collapsed="false" customWidth="true" hidden="false" outlineLevel="0" max="6" min="6" style="1" width="10.54"/>
    <col collapsed="false" customWidth="true" hidden="false" outlineLevel="0" max="7" min="7" style="1" width="6.27"/>
    <col collapsed="false" customWidth="true" hidden="false" outlineLevel="0" max="11" min="11" style="1" width="22.09"/>
  </cols>
  <sheetData>
    <row r="1" customFormat="false" ht="14.25" hidden="false" customHeight="true" outlineLevel="0" collapsed="false">
      <c r="A1" s="1" t="s">
        <v>174</v>
      </c>
      <c r="B1" s="59"/>
    </row>
    <row r="2" customFormat="false" ht="14.25" hidden="false" customHeight="true" outlineLevel="0" collapsed="false">
      <c r="H2" s="60"/>
      <c r="I2" s="61"/>
      <c r="J2" s="61"/>
      <c r="P2" s="8"/>
      <c r="Q2" s="8"/>
    </row>
    <row r="3" customFormat="false" ht="14.25" hidden="false" customHeight="true" outlineLevel="0" collapsed="false">
      <c r="H3" s="60"/>
      <c r="I3" s="61"/>
      <c r="J3" s="61"/>
      <c r="P3" s="8"/>
      <c r="Q3" s="8"/>
    </row>
    <row r="4" customFormat="false" ht="14.25" hidden="false" customHeight="true" outlineLevel="0" collapsed="false">
      <c r="C4" s="62"/>
      <c r="H4" s="61"/>
      <c r="I4" s="60"/>
      <c r="J4" s="61"/>
      <c r="P4" s="8"/>
      <c r="Q4" s="8"/>
    </row>
    <row r="5" customFormat="false" ht="14.25" hidden="false" customHeight="true" outlineLevel="0" collapsed="false">
      <c r="C5" s="22" t="s">
        <v>175</v>
      </c>
      <c r="D5" s="19"/>
      <c r="E5" s="19"/>
      <c r="F5" s="19"/>
      <c r="G5" s="19"/>
      <c r="H5" s="61"/>
      <c r="P5" s="8"/>
      <c r="Q5" s="8"/>
    </row>
    <row r="6" customFormat="false" ht="14.25" hidden="false" customHeight="true" outlineLevel="0" collapsed="false">
      <c r="C6" s="34" t="n">
        <f aca="false">4.25%</f>
        <v>0.0425</v>
      </c>
      <c r="D6" s="4"/>
      <c r="E6" s="4"/>
      <c r="F6" s="4"/>
      <c r="G6" s="4"/>
      <c r="P6" s="8"/>
      <c r="Q6" s="8"/>
    </row>
    <row r="7" customFormat="false" ht="14.25" hidden="false" customHeight="true" outlineLevel="0" collapsed="false">
      <c r="H7" s="61"/>
    </row>
    <row r="8" customFormat="false" ht="14.25" hidden="false" customHeight="true" outlineLevel="0" collapsed="false">
      <c r="C8" s="22" t="s">
        <v>176</v>
      </c>
      <c r="D8" s="19"/>
      <c r="E8" s="19"/>
      <c r="F8" s="19"/>
      <c r="G8" s="19"/>
      <c r="H8" s="61"/>
    </row>
    <row r="9" customFormat="false" ht="14.25" hidden="false" customHeight="true" outlineLevel="0" collapsed="false">
      <c r="C9" s="34" t="n">
        <f aca="false">4.9%</f>
        <v>0.049</v>
      </c>
      <c r="D9" s="4"/>
      <c r="E9" s="4"/>
      <c r="F9" s="4"/>
      <c r="G9" s="4"/>
    </row>
    <row r="10" customFormat="false" ht="14.25" hidden="false" customHeight="true" outlineLevel="0" collapsed="false">
      <c r="C10" s="1" t="s">
        <v>177</v>
      </c>
    </row>
    <row r="11" customFormat="false" ht="14.25" hidden="false" customHeight="true" outlineLevel="0" collapsed="false">
      <c r="C11" s="22" t="s">
        <v>178</v>
      </c>
      <c r="D11" s="19"/>
      <c r="E11" s="19"/>
      <c r="F11" s="19"/>
      <c r="G11" s="19"/>
    </row>
    <row r="12" customFormat="false" ht="14.25" hidden="false" customHeight="true" outlineLevel="0" collapsed="false">
      <c r="C12" s="34" t="n">
        <f aca="false">3%</f>
        <v>0.03</v>
      </c>
      <c r="D12" s="4"/>
      <c r="E12" s="4"/>
      <c r="F12" s="4"/>
      <c r="G12" s="4"/>
    </row>
    <row r="13" customFormat="false" ht="14.25" hidden="false" customHeight="true" outlineLevel="0" collapsed="false">
      <c r="C13" s="22" t="s">
        <v>179</v>
      </c>
      <c r="D13" s="22" t="s">
        <v>180</v>
      </c>
      <c r="E13" s="22" t="s">
        <v>181</v>
      </c>
      <c r="F13" s="22" t="s">
        <v>182</v>
      </c>
      <c r="G13" s="22"/>
    </row>
    <row r="14" customFormat="false" ht="14.25" hidden="false" customHeight="true" outlineLevel="0" collapsed="false">
      <c r="C14" s="4" t="s">
        <v>183</v>
      </c>
      <c r="D14" s="63" t="n">
        <f aca="false">4.3%</f>
        <v>0.043</v>
      </c>
      <c r="E14" s="63" t="n">
        <f aca="false">4.4%</f>
        <v>0.044</v>
      </c>
      <c r="F14" s="63" t="n">
        <f aca="false">3.8%</f>
        <v>0.038</v>
      </c>
      <c r="G14" s="4"/>
    </row>
    <row r="15" customFormat="false" ht="14.25" hidden="false" customHeight="true" outlineLevel="0" collapsed="false">
      <c r="C15" s="1" t="s">
        <v>184</v>
      </c>
      <c r="D15" s="64" t="n">
        <f aca="false">0.0015</f>
        <v>0.0015</v>
      </c>
      <c r="E15" s="64" t="n">
        <f aca="false">0.0015</f>
        <v>0.0015</v>
      </c>
      <c r="F15" s="64" t="n">
        <f aca="false">0.0015</f>
        <v>0.0015</v>
      </c>
    </row>
    <row r="16" customFormat="false" ht="14.25" hidden="false" customHeight="true" outlineLevel="0" collapsed="false">
      <c r="C16" s="4" t="s">
        <v>185</v>
      </c>
      <c r="D16" s="34" t="n">
        <f aca="false">D14+D15</f>
        <v>0.0445</v>
      </c>
      <c r="E16" s="34" t="n">
        <f aca="false">E14+E15</f>
        <v>0.0455</v>
      </c>
      <c r="F16" s="34" t="n">
        <f aca="false">F14+F15</f>
        <v>0.0395</v>
      </c>
      <c r="G16" s="4"/>
      <c r="H16" s="8"/>
      <c r="I16" s="8"/>
    </row>
    <row r="17" customFormat="false" ht="14.25" hidden="false" customHeight="true" outlineLevel="0" collapsed="false">
      <c r="C17" s="1" t="s">
        <v>186</v>
      </c>
      <c r="D17" s="64" t="n">
        <v>0.0098</v>
      </c>
      <c r="E17" s="64" t="n">
        <v>0.0098</v>
      </c>
      <c r="F17" s="64" t="n">
        <v>0.0098</v>
      </c>
      <c r="G17" s="62"/>
    </row>
    <row r="18" customFormat="false" ht="14.25" hidden="false" customHeight="true" outlineLevel="0" collapsed="false">
      <c r="C18" s="4" t="s">
        <v>187</v>
      </c>
      <c r="D18" s="34" t="n">
        <f aca="false">D16+D17</f>
        <v>0.0543</v>
      </c>
      <c r="E18" s="34" t="n">
        <f aca="false">E16+E17</f>
        <v>0.0553</v>
      </c>
      <c r="F18" s="34" t="n">
        <f aca="false">F16+F17</f>
        <v>0.0493</v>
      </c>
      <c r="G18" s="4"/>
      <c r="H18" s="8"/>
      <c r="I18" s="8"/>
    </row>
    <row r="19" customFormat="false" ht="14.25" hidden="false" customHeight="true" outlineLevel="0" collapsed="false">
      <c r="C19" s="1" t="s">
        <v>188</v>
      </c>
      <c r="D19" s="64" t="n">
        <v>0.032</v>
      </c>
      <c r="E19" s="64" t="n">
        <v>0.024</v>
      </c>
      <c r="F19" s="64" t="n">
        <v>0.021</v>
      </c>
    </row>
    <row r="20" customFormat="false" ht="14.25" hidden="false" customHeight="true" outlineLevel="0" collapsed="false">
      <c r="C20" s="4" t="s">
        <v>189</v>
      </c>
      <c r="D20" s="63" t="n">
        <v>0.03</v>
      </c>
      <c r="E20" s="63" t="n">
        <v>0.032</v>
      </c>
      <c r="F20" s="63" t="n">
        <v>0.024</v>
      </c>
      <c r="G20" s="4"/>
    </row>
    <row r="21" customFormat="false" ht="14.25" hidden="false" customHeight="true" outlineLevel="0" collapsed="false">
      <c r="C21" s="1" t="s">
        <v>190</v>
      </c>
      <c r="D21" s="1" t="s">
        <v>191</v>
      </c>
      <c r="E21" s="8" t="n">
        <f aca="false">4.56%</f>
        <v>0.0456</v>
      </c>
      <c r="F21" s="8" t="n">
        <f aca="false">4.56%</f>
        <v>0.0456</v>
      </c>
      <c r="G21" s="8" t="n">
        <f aca="false">4.56%</f>
        <v>0.0456</v>
      </c>
    </row>
    <row r="22" customFormat="false" ht="14.25" hidden="false" customHeight="true" outlineLevel="0" collapsed="false">
      <c r="C22" s="65" t="s">
        <v>190</v>
      </c>
      <c r="D22" s="4" t="s">
        <v>192</v>
      </c>
      <c r="E22" s="4" t="n">
        <v>3.2</v>
      </c>
      <c r="F22" s="4" t="n">
        <f aca="false">2.8</f>
        <v>2.8</v>
      </c>
      <c r="G22" s="4" t="n">
        <f aca="false">2.3</f>
        <v>2.3</v>
      </c>
    </row>
    <row r="23" customFormat="false" ht="14.25" hidden="false" customHeight="true" outlineLevel="0" collapsed="false">
      <c r="C23" s="1" t="s">
        <v>190</v>
      </c>
      <c r="D23" s="1" t="s">
        <v>193</v>
      </c>
      <c r="E23" s="8" t="n">
        <v>0.032</v>
      </c>
      <c r="F23" s="8" t="n">
        <v>0.024</v>
      </c>
      <c r="G23" s="8" t="n">
        <v>0.021</v>
      </c>
    </row>
    <row r="24" customFormat="false" ht="14.25" hidden="false" customHeight="true" outlineLevel="0" collapsed="false">
      <c r="C24" s="4" t="s">
        <v>194</v>
      </c>
      <c r="D24" s="4" t="s">
        <v>195</v>
      </c>
      <c r="E24" s="4" t="n">
        <v>105.8</v>
      </c>
      <c r="F24" s="4"/>
      <c r="G24" s="4"/>
    </row>
    <row r="25" customFormat="false" ht="14.25" hidden="false" customHeight="true" outlineLevel="0" collapsed="false">
      <c r="C25" s="22" t="s">
        <v>196</v>
      </c>
      <c r="D25" s="22" t="s">
        <v>197</v>
      </c>
      <c r="E25" s="22" t="s">
        <v>198</v>
      </c>
      <c r="F25" s="19"/>
      <c r="G25" s="19"/>
    </row>
    <row r="26" customFormat="false" ht="14.25" hidden="false" customHeight="true" outlineLevel="0" collapsed="false">
      <c r="C26" s="4" t="s">
        <v>199</v>
      </c>
      <c r="D26" s="34" t="n">
        <f aca="false">4.26%</f>
        <v>0.0426</v>
      </c>
      <c r="E26" s="34" t="n">
        <f aca="false">D26-4.25%</f>
        <v>9.99999999999959E-005</v>
      </c>
      <c r="F26" s="4"/>
      <c r="G26" s="4"/>
    </row>
    <row r="27" customFormat="false" ht="14.25" hidden="false" customHeight="true" outlineLevel="0" collapsed="false">
      <c r="C27" s="1" t="s">
        <v>200</v>
      </c>
      <c r="D27" s="8" t="n">
        <f aca="false">4.32%</f>
        <v>0.0432</v>
      </c>
      <c r="E27" s="8" t="n">
        <f aca="false">D27-4.25%</f>
        <v>0.000699999999999999</v>
      </c>
    </row>
    <row r="28" customFormat="false" ht="14.25" hidden="false" customHeight="true" outlineLevel="0" collapsed="false">
      <c r="C28" s="4" t="s">
        <v>201</v>
      </c>
      <c r="D28" s="34" t="n">
        <f aca="false">4.45%</f>
        <v>0.0445</v>
      </c>
      <c r="E28" s="34" t="n">
        <f aca="false">D28-4.25%</f>
        <v>0.002</v>
      </c>
      <c r="F28" s="4"/>
      <c r="G28" s="4"/>
    </row>
    <row r="29" customFormat="false" ht="14.25" hidden="false" customHeight="true" outlineLevel="0" collapsed="false">
      <c r="C29" s="1" t="s">
        <v>202</v>
      </c>
      <c r="D29" s="8" t="n">
        <f aca="false">4.56%</f>
        <v>0.0456</v>
      </c>
      <c r="E29" s="8" t="n">
        <f aca="false">D29-4.25%</f>
        <v>0.00309999999999999</v>
      </c>
    </row>
    <row r="30" customFormat="false" ht="14.25" hidden="false" customHeight="true" outlineLevel="0" collapsed="false">
      <c r="C30" s="10" t="s">
        <v>203</v>
      </c>
      <c r="D30" s="44" t="n">
        <f aca="false">4.79%</f>
        <v>0.0479</v>
      </c>
      <c r="E30" s="44" t="n">
        <f aca="false">D30-4.25%</f>
        <v>0.0054</v>
      </c>
      <c r="F30" s="10"/>
      <c r="G30" s="10"/>
    </row>
    <row r="33" customFormat="false" ht="23.25" hidden="false" customHeight="true" outlineLevel="0" collapsed="false">
      <c r="C33" s="15" t="s">
        <v>204</v>
      </c>
      <c r="D33" s="15"/>
      <c r="E33" s="15"/>
      <c r="F33" s="15"/>
      <c r="G33" s="15"/>
    </row>
    <row r="34" customFormat="false" ht="14.25" hidden="false" customHeight="true" outlineLevel="0" collapsed="false">
      <c r="C34" s="20" t="s">
        <v>205</v>
      </c>
      <c r="D34" s="20" t="s">
        <v>74</v>
      </c>
      <c r="E34" s="20" t="s">
        <v>206</v>
      </c>
      <c r="F34" s="20"/>
      <c r="G34" s="20"/>
    </row>
    <row r="35" customFormat="false" ht="14.25" hidden="false" customHeight="true" outlineLevel="0" collapsed="false">
      <c r="C35" s="4" t="s">
        <v>207</v>
      </c>
      <c r="D35" s="16" t="n">
        <v>0.3</v>
      </c>
      <c r="E35" s="4"/>
      <c r="F35" s="4"/>
      <c r="G35" s="4"/>
    </row>
    <row r="36" customFormat="false" ht="14.25" hidden="false" customHeight="true" outlineLevel="0" collapsed="false">
      <c r="C36" s="1" t="s">
        <v>208</v>
      </c>
      <c r="D36" s="25" t="n">
        <v>0.55</v>
      </c>
    </row>
    <row r="37" customFormat="false" ht="14.25" hidden="false" customHeight="true" outlineLevel="0" collapsed="false">
      <c r="C37" s="4" t="s">
        <v>209</v>
      </c>
      <c r="D37" s="34" t="n">
        <v>0.09</v>
      </c>
      <c r="E37" s="4"/>
      <c r="F37" s="4"/>
      <c r="G37" s="4"/>
    </row>
    <row r="38" customFormat="false" ht="14.25" hidden="false" customHeight="true" outlineLevel="0" collapsed="false">
      <c r="C38" s="1" t="s">
        <v>170</v>
      </c>
      <c r="D38" s="66" t="n">
        <v>2</v>
      </c>
    </row>
    <row r="39" customFormat="false" ht="14.25" hidden="false" customHeight="true" outlineLevel="0" collapsed="false">
      <c r="C39" s="4" t="s">
        <v>210</v>
      </c>
      <c r="D39" s="34" t="n">
        <v>0.02</v>
      </c>
      <c r="E39" s="4"/>
      <c r="F39" s="4"/>
      <c r="G39" s="4"/>
    </row>
    <row r="40" customFormat="false" ht="14.25" hidden="false" customHeight="true" outlineLevel="0" collapsed="false">
      <c r="C40" s="1" t="s">
        <v>211</v>
      </c>
      <c r="D40" s="8" t="n">
        <v>0</v>
      </c>
    </row>
    <row r="41" customFormat="false" ht="14.25" hidden="false" customHeight="true" outlineLevel="0" collapsed="false">
      <c r="C41" s="4" t="s">
        <v>212</v>
      </c>
      <c r="D41" s="17" t="n">
        <v>5</v>
      </c>
      <c r="E41" s="4"/>
      <c r="F41" s="4"/>
      <c r="G41" s="4"/>
    </row>
    <row r="42" customFormat="false" ht="14.25" hidden="false" customHeight="true" outlineLevel="0" collapsed="false">
      <c r="C42" s="1" t="s">
        <v>213</v>
      </c>
      <c r="D42" s="8" t="n">
        <v>0.0025</v>
      </c>
    </row>
    <row r="43" customFormat="false" ht="14.25" hidden="false" customHeight="true" outlineLevel="0" collapsed="false">
      <c r="C43" s="4" t="s">
        <v>115</v>
      </c>
      <c r="D43" s="54" t="n">
        <v>150</v>
      </c>
      <c r="E43" s="4"/>
      <c r="F43" s="4"/>
      <c r="G43" s="4"/>
    </row>
    <row r="44" customFormat="false" ht="14.25" hidden="false" customHeight="true" outlineLevel="0" collapsed="false">
      <c r="C44" s="1" t="s">
        <v>214</v>
      </c>
      <c r="D44" s="8" t="n">
        <v>0.01</v>
      </c>
    </row>
    <row r="45" customFormat="false" ht="14.25" hidden="false" customHeight="true" outlineLevel="0" collapsed="false">
      <c r="C45" s="4" t="s">
        <v>114</v>
      </c>
      <c r="D45" s="34" t="n">
        <v>0.22</v>
      </c>
      <c r="E45" s="4"/>
      <c r="F45" s="4"/>
      <c r="G45" s="4"/>
    </row>
    <row r="46" customFormat="false" ht="14.25" hidden="false" customHeight="true" outlineLevel="0" collapsed="false">
      <c r="C46" s="5" t="s">
        <v>134</v>
      </c>
      <c r="D46" s="6" t="n">
        <v>0</v>
      </c>
      <c r="E46" s="5"/>
      <c r="F46" s="5"/>
      <c r="G46" s="5"/>
    </row>
    <row r="49" customFormat="false" ht="23.25" hidden="false" customHeight="true" outlineLevel="0" collapsed="false">
      <c r="C49" s="15" t="s">
        <v>215</v>
      </c>
      <c r="D49" s="15"/>
      <c r="E49" s="15"/>
      <c r="F49" s="15"/>
      <c r="G49" s="15"/>
    </row>
    <row r="50" customFormat="false" ht="14.25" hidden="false" customHeight="true" outlineLevel="0" collapsed="false">
      <c r="C50" s="20" t="s">
        <v>205</v>
      </c>
      <c r="D50" s="20" t="s">
        <v>74</v>
      </c>
      <c r="E50" s="20" t="s">
        <v>206</v>
      </c>
      <c r="F50" s="20"/>
      <c r="G50" s="20"/>
    </row>
    <row r="51" customFormat="false" ht="14.25" hidden="false" customHeight="true" outlineLevel="0" collapsed="false">
      <c r="C51" s="4" t="s">
        <v>216</v>
      </c>
      <c r="D51" s="16" t="n">
        <v>0.3</v>
      </c>
      <c r="E51" s="4"/>
      <c r="F51" s="4"/>
      <c r="G51" s="4"/>
    </row>
    <row r="52" customFormat="false" ht="14.25" hidden="false" customHeight="true" outlineLevel="0" collapsed="false">
      <c r="C52" s="1" t="s">
        <v>217</v>
      </c>
      <c r="D52" s="25" t="n">
        <v>0.6</v>
      </c>
    </row>
    <row r="53" customFormat="false" ht="14.25" hidden="false" customHeight="true" outlineLevel="0" collapsed="false">
      <c r="C53" s="10" t="s">
        <v>218</v>
      </c>
      <c r="D53" s="67" t="n">
        <v>0</v>
      </c>
      <c r="E53" s="10"/>
      <c r="F53" s="10"/>
      <c r="G53" s="10"/>
    </row>
    <row r="55" customFormat="false" ht="23.25" hidden="false" customHeight="true" outlineLevel="0" collapsed="false">
      <c r="C55" s="15" t="s">
        <v>219</v>
      </c>
      <c r="D55" s="15"/>
      <c r="E55" s="15"/>
      <c r="F55" s="15"/>
      <c r="G55" s="15"/>
    </row>
    <row r="56" customFormat="false" ht="14.25" hidden="false" customHeight="true" outlineLevel="0" collapsed="false">
      <c r="C56" s="20" t="s">
        <v>220</v>
      </c>
      <c r="D56" s="20" t="s">
        <v>221</v>
      </c>
      <c r="E56" s="20" t="s">
        <v>222</v>
      </c>
      <c r="F56" s="20" t="s">
        <v>223</v>
      </c>
      <c r="G56" s="20"/>
    </row>
    <row r="57" customFormat="false" ht="14.25" hidden="false" customHeight="true" outlineLevel="0" collapsed="false">
      <c r="C57" s="4" t="s">
        <v>224</v>
      </c>
      <c r="D57" s="54" t="n">
        <f aca="false">'Rent Roll'!H17</f>
        <v>2.98228298079516</v>
      </c>
      <c r="E57" s="54" t="n">
        <f aca="false">'Rent Roll'!L17</f>
        <v>2.72453939431393</v>
      </c>
      <c r="F57" s="4"/>
      <c r="G57" s="4"/>
    </row>
    <row r="58" customFormat="false" ht="14.25" hidden="false" customHeight="true" outlineLevel="0" collapsed="false">
      <c r="C58" s="1" t="s">
        <v>225</v>
      </c>
      <c r="D58" s="47" t="n">
        <f aca="false">'Rent Roll'!H18</f>
        <v>3.39143360800447</v>
      </c>
      <c r="E58" s="47" t="n">
        <f aca="false">'Rent Roll'!L18</f>
        <v>3.05682214095774</v>
      </c>
    </row>
    <row r="59" customFormat="false" ht="14.25" hidden="false" customHeight="true" outlineLevel="0" collapsed="false">
      <c r="C59" s="4" t="s">
        <v>226</v>
      </c>
      <c r="D59" s="34" t="n">
        <f aca="false">'Rent Roll'!H20</f>
        <v>0.137193763919822</v>
      </c>
      <c r="E59" s="34" t="n">
        <f aca="false">'Rent Roll'!L20</f>
        <v>0.121959237343853</v>
      </c>
      <c r="F59" s="4"/>
      <c r="G59" s="4"/>
    </row>
    <row r="60" customFormat="false" ht="14.25" hidden="false" customHeight="true" outlineLevel="0" collapsed="false">
      <c r="C60" s="5" t="s">
        <v>227</v>
      </c>
      <c r="D60" s="68" t="n">
        <f aca="false">'Rent Roll'!H44</f>
        <v>257.944558041556</v>
      </c>
      <c r="E60" s="68" t="n">
        <f aca="false">'Rent Roll'!H44</f>
        <v>257.944558041556</v>
      </c>
      <c r="F60" s="5"/>
      <c r="G60" s="5"/>
    </row>
  </sheetData>
  <hyperlinks>
    <hyperlink ref="C22" r:id="rId1" display="https://www.norges-bank.no/contentassets/c1ae1dbac64d43c898f234aa2744eb4b/mpr-2-26.pdf?v=1906202616025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4:L48"/>
  <sheetViews>
    <sheetView showFormulas="false" showGridLines="false" showRowColHeaders="true" showZeros="true" rightToLeft="false" tabSelected="false" showOutlineSymbols="true" defaultGridColor="true" view="normal" topLeftCell="D25" colorId="64" zoomScale="57" zoomScaleNormal="57" zoomScalePageLayoutView="100" workbookViewId="0">
      <selection pane="topLeft" activeCell="E52" activeCellId="0" sqref="E5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8.45"/>
    <col collapsed="false" customWidth="true" hidden="false" outlineLevel="0" max="2" min="2" style="1" width="12.27"/>
    <col collapsed="false" customWidth="true" hidden="false" outlineLevel="0" max="3" min="3" style="1" width="17.54"/>
    <col collapsed="false" customWidth="true" hidden="false" outlineLevel="0" max="5" min="4" style="1" width="12.27"/>
    <col collapsed="false" customWidth="true" hidden="false" outlineLevel="0" max="6" min="6" style="1" width="7"/>
    <col collapsed="false" customWidth="true" hidden="false" outlineLevel="0" max="7" min="7" style="1" width="40"/>
    <col collapsed="false" customWidth="true" hidden="false" outlineLevel="0" max="8" min="8" style="1" width="7.64"/>
    <col collapsed="false" customWidth="true" hidden="false" outlineLevel="0" max="9" min="9" style="1" width="55.73"/>
    <col collapsed="false" customWidth="true" hidden="false" outlineLevel="0" max="10" min="10" style="1" width="11.18"/>
    <col collapsed="false" customWidth="true" hidden="false" outlineLevel="0" max="11" min="11" style="1" width="11.73"/>
    <col collapsed="false" customWidth="true" hidden="false" outlineLevel="0" max="12" min="12" style="1" width="11.54"/>
  </cols>
  <sheetData>
    <row r="4" customFormat="false" ht="23.25" hidden="false" customHeight="true" outlineLevel="0" collapsed="false">
      <c r="G4" s="15" t="s">
        <v>228</v>
      </c>
      <c r="H4" s="22"/>
      <c r="I4" s="22"/>
      <c r="J4" s="22"/>
      <c r="K4" s="22"/>
      <c r="L4" s="22"/>
    </row>
    <row r="5" customFormat="false" ht="14.25" hidden="false" customHeight="true" outlineLevel="0" collapsed="false"/>
    <row r="6" customFormat="false" ht="14.25" hidden="false" customHeight="true" outlineLevel="0" collapsed="false">
      <c r="G6" s="22" t="s">
        <v>229</v>
      </c>
      <c r="H6" s="22" t="s">
        <v>221</v>
      </c>
      <c r="I6" s="22" t="s">
        <v>230</v>
      </c>
      <c r="J6" s="22" t="s">
        <v>231</v>
      </c>
      <c r="K6" s="22" t="s">
        <v>232</v>
      </c>
      <c r="L6" s="22" t="s">
        <v>233</v>
      </c>
    </row>
    <row r="7" customFormat="false" ht="14.25" hidden="false" customHeight="true" outlineLevel="0" collapsed="false">
      <c r="G7" s="4" t="s">
        <v>234</v>
      </c>
      <c r="H7" s="69" t="n">
        <v>44</v>
      </c>
      <c r="I7" s="69" t="n">
        <v>9</v>
      </c>
      <c r="J7" s="69" t="n">
        <v>11</v>
      </c>
      <c r="K7" s="69" t="n">
        <v>6</v>
      </c>
      <c r="L7" s="4" t="n">
        <f aca="false">SUM(Table2[[#This Row],[Oslo]:[Drammen]])</f>
        <v>70</v>
      </c>
    </row>
    <row r="8" customFormat="false" ht="14.25" hidden="false" customHeight="true" outlineLevel="0" collapsed="false">
      <c r="G8" s="1" t="s">
        <v>235</v>
      </c>
      <c r="H8" s="70" t="n">
        <v>752779</v>
      </c>
      <c r="I8" s="70" t="n">
        <v>167709</v>
      </c>
      <c r="J8" s="70" t="n">
        <v>135179</v>
      </c>
      <c r="K8" s="70" t="n">
        <v>60852</v>
      </c>
      <c r="L8" s="1" t="n">
        <f aca="false">SUM(Table2[[#This Row],[Oslo]:[Drammen]])</f>
        <v>1116519</v>
      </c>
    </row>
    <row r="9" customFormat="false" ht="14.25" hidden="false" customHeight="true" outlineLevel="0" collapsed="false">
      <c r="G9" s="4" t="s">
        <v>236</v>
      </c>
      <c r="H9" s="69" t="n">
        <v>0.942</v>
      </c>
      <c r="I9" s="69" t="n">
        <v>0.917</v>
      </c>
      <c r="J9" s="69" t="n">
        <v>0.927</v>
      </c>
      <c r="K9" s="69" t="n">
        <v>0.963</v>
      </c>
      <c r="L9" s="4" t="n">
        <f aca="false">SUM(Table2[[#This Row],[Oslo]:[Drammen]])</f>
        <v>3.749</v>
      </c>
    </row>
    <row r="10" customFormat="false" ht="14.25" hidden="false" customHeight="true" outlineLevel="0" collapsed="false">
      <c r="G10" s="1" t="s">
        <v>237</v>
      </c>
      <c r="H10" s="70" t="n">
        <v>6</v>
      </c>
      <c r="I10" s="70" t="n">
        <v>5.4</v>
      </c>
      <c r="J10" s="70" t="n">
        <v>5.8</v>
      </c>
      <c r="K10" s="70" t="n">
        <v>7.1</v>
      </c>
      <c r="L10" s="1" t="n">
        <f aca="false">SUM(Table2[[#This Row],[Oslo]:[Drammen]])</f>
        <v>24.3</v>
      </c>
    </row>
    <row r="11" customFormat="false" ht="14.25" hidden="false" customHeight="true" outlineLevel="0" collapsed="false">
      <c r="G11" s="4" t="s">
        <v>238</v>
      </c>
      <c r="H11" s="69" t="n">
        <v>43389</v>
      </c>
      <c r="I11" s="69" t="n">
        <v>6677</v>
      </c>
      <c r="J11" s="69" t="n">
        <v>4494</v>
      </c>
      <c r="K11" s="69" t="n">
        <v>2093</v>
      </c>
      <c r="L11" s="4" t="n">
        <f aca="false">SUM(Table2[[#This Row],[Oslo]:[Drammen]])</f>
        <v>56653</v>
      </c>
    </row>
    <row r="12" customFormat="false" ht="14.25" hidden="false" customHeight="true" outlineLevel="0" collapsed="false">
      <c r="G12" s="1" t="s">
        <v>239</v>
      </c>
      <c r="H12" s="70" t="n">
        <v>2245</v>
      </c>
      <c r="I12" s="70" t="n">
        <v>396</v>
      </c>
      <c r="J12" s="70" t="n">
        <v>271</v>
      </c>
      <c r="K12" s="70" t="n">
        <v>130</v>
      </c>
      <c r="L12" s="1" t="n">
        <f aca="false">SUM(Table2[[#This Row],[Oslo]:[Drammen]])</f>
        <v>3042</v>
      </c>
    </row>
    <row r="13" customFormat="false" ht="14.25" hidden="false" customHeight="true" outlineLevel="0" collapsed="false">
      <c r="G13" s="4" t="s">
        <v>240</v>
      </c>
      <c r="H13" s="69" t="n">
        <v>2553</v>
      </c>
      <c r="I13" s="69" t="n">
        <v>442</v>
      </c>
      <c r="J13" s="69" t="n">
        <v>285</v>
      </c>
      <c r="K13" s="69" t="n">
        <v>133</v>
      </c>
      <c r="L13" s="4" t="n">
        <f aca="false">SUM(Table2[[#This Row],[Oslo]:[Drammen]])</f>
        <v>3413</v>
      </c>
    </row>
    <row r="14" customFormat="false" ht="14.25" hidden="false" customHeight="true" outlineLevel="0" collapsed="false"/>
    <row r="15" customFormat="false" ht="14.25" hidden="false" customHeight="true" outlineLevel="0" collapsed="false">
      <c r="G15" s="22" t="s">
        <v>241</v>
      </c>
      <c r="H15" s="22"/>
      <c r="I15" s="22"/>
      <c r="J15" s="22"/>
      <c r="K15" s="22"/>
      <c r="L15" s="19" t="n">
        <f aca="false">SUM(Table2[[#This Row],[Oslo]:[Drammen]])</f>
        <v>0</v>
      </c>
    </row>
    <row r="16" customFormat="false" ht="14.25" hidden="false" customHeight="true" outlineLevel="0" collapsed="false">
      <c r="G16" s="4" t="s">
        <v>242</v>
      </c>
      <c r="H16" s="54" t="n">
        <f aca="false">H11*1000/H8</f>
        <v>57.6384304025484</v>
      </c>
      <c r="I16" s="54" t="n">
        <f aca="false">I11*1000/I8</f>
        <v>39.8130094389687</v>
      </c>
      <c r="J16" s="54" t="n">
        <f aca="false">J11*1000/J8</f>
        <v>33.2448087350846</v>
      </c>
      <c r="K16" s="54" t="n">
        <f aca="false">K11*1000/K8</f>
        <v>34.3949253927562</v>
      </c>
      <c r="L16" s="54" t="n">
        <f aca="false">L11*1000/L8</f>
        <v>50.7407397455843</v>
      </c>
    </row>
    <row r="17" customFormat="false" ht="14.25" hidden="false" customHeight="true" outlineLevel="0" collapsed="false">
      <c r="G17" s="1" t="s">
        <v>243</v>
      </c>
      <c r="H17" s="47" t="n">
        <f aca="false">H12*1000/H8</f>
        <v>2.98228298079516</v>
      </c>
      <c r="I17" s="47" t="n">
        <f aca="false">I12*1000/I8</f>
        <v>2.36123284975762</v>
      </c>
      <c r="J17" s="47" t="n">
        <f aca="false">J12*1000/J8</f>
        <v>2.00474925839073</v>
      </c>
      <c r="K17" s="47" t="n">
        <f aca="false">K12*1000/K8</f>
        <v>2.13633076973641</v>
      </c>
      <c r="L17" s="47" t="n">
        <f aca="false">L12*1000/L8</f>
        <v>2.72453939431393</v>
      </c>
    </row>
    <row r="18" customFormat="false" ht="14.25" hidden="false" customHeight="true" outlineLevel="0" collapsed="false">
      <c r="G18" s="4" t="s">
        <v>244</v>
      </c>
      <c r="H18" s="54" t="n">
        <f aca="false">H13*1000/H8</f>
        <v>3.39143360800447</v>
      </c>
      <c r="I18" s="54" t="n">
        <f aca="false">I13*1000/I8</f>
        <v>2.63551747371936</v>
      </c>
      <c r="J18" s="54" t="n">
        <f aca="false">J13*1000/J8</f>
        <v>2.10831564074302</v>
      </c>
      <c r="K18" s="54" t="n">
        <f aca="false">K13*1000/K8</f>
        <v>2.18563071057648</v>
      </c>
      <c r="L18" s="54" t="n">
        <f aca="false">L13*1000/L8</f>
        <v>3.05682214095774</v>
      </c>
    </row>
    <row r="19" customFormat="false" ht="14.25" hidden="false" customHeight="true" outlineLevel="0" collapsed="false">
      <c r="G19" s="1" t="s">
        <v>245</v>
      </c>
      <c r="H19" s="8" t="n">
        <f aca="false">H12*(1-H22)/H11</f>
        <v>0.0469712270636046</v>
      </c>
      <c r="I19" s="8" t="n">
        <f aca="false">I12*(1-H22)/I11</f>
        <v>0.0538404909010752</v>
      </c>
      <c r="J19" s="8" t="n">
        <f aca="false">J12*(1-H22)/J11</f>
        <v>0.0547433567704727</v>
      </c>
      <c r="K19" s="8" t="n">
        <f aca="false">K12*(1-H22)/K11</f>
        <v>0.0563857453018506</v>
      </c>
      <c r="L19" s="8" t="n">
        <f aca="false">L12*(1-H22)/L11</f>
        <v>0.0487451598159408</v>
      </c>
    </row>
    <row r="20" customFormat="false" ht="14.25" hidden="false" customHeight="true" outlineLevel="0" collapsed="false">
      <c r="G20" s="10" t="s">
        <v>246</v>
      </c>
      <c r="H20" s="44" t="n">
        <f aca="false">H13/H12-1</f>
        <v>0.137193763919822</v>
      </c>
      <c r="I20" s="44" t="n">
        <f aca="false">I13/I12-1</f>
        <v>0.116161616161616</v>
      </c>
      <c r="J20" s="44" t="n">
        <f aca="false">J13/J12-1</f>
        <v>0.051660516605166</v>
      </c>
      <c r="K20" s="44" t="n">
        <f aca="false">K13/K12-1</f>
        <v>0.023076923076923</v>
      </c>
      <c r="L20" s="44" t="n">
        <f aca="false">L13/L12-1</f>
        <v>0.121959237343853</v>
      </c>
    </row>
    <row r="22" customFormat="false" ht="14.25" hidden="false" customHeight="true" outlineLevel="0" collapsed="false">
      <c r="G22" s="1" t="s">
        <v>247</v>
      </c>
      <c r="H22" s="8" t="n">
        <f aca="false">'P&amp;L'!F21/'P&amp;L'!F14</f>
        <v>0.0921895006402049</v>
      </c>
    </row>
    <row r="24" customFormat="false" ht="23.25" hidden="false" customHeight="true" outlineLevel="0" collapsed="false">
      <c r="G24" s="15" t="s">
        <v>248</v>
      </c>
      <c r="H24" s="15"/>
      <c r="I24" s="15"/>
      <c r="J24" s="15"/>
      <c r="K24" s="15"/>
      <c r="L24" s="15"/>
    </row>
    <row r="25" customFormat="false" ht="14.25" hidden="false" customHeight="true" outlineLevel="0" collapsed="false">
      <c r="G25" s="20" t="s">
        <v>249</v>
      </c>
      <c r="H25" s="20" t="s">
        <v>119</v>
      </c>
      <c r="I25" s="20" t="s">
        <v>250</v>
      </c>
      <c r="J25" s="20"/>
      <c r="K25" s="20"/>
      <c r="L25" s="20"/>
    </row>
    <row r="26" customFormat="false" ht="14.25" hidden="false" customHeight="true" outlineLevel="0" collapsed="false">
      <c r="G26" s="4" t="s">
        <v>251</v>
      </c>
      <c r="H26" s="4" t="n">
        <f aca="false">L12</f>
        <v>3042</v>
      </c>
      <c r="I26" s="4" t="s">
        <v>252</v>
      </c>
      <c r="J26" s="4"/>
      <c r="K26" s="4"/>
      <c r="L26" s="4"/>
    </row>
    <row r="27" customFormat="false" ht="14.25" hidden="false" customHeight="true" outlineLevel="0" collapsed="false">
      <c r="G27" s="1" t="s">
        <v>253</v>
      </c>
      <c r="H27" s="1" t="n">
        <f aca="false">-('P&amp;L'!F21)*4</f>
        <v>-288</v>
      </c>
      <c r="I27" s="1" t="s">
        <v>254</v>
      </c>
    </row>
    <row r="28" customFormat="false" ht="14.25" hidden="false" customHeight="true" outlineLevel="0" collapsed="false">
      <c r="G28" s="48" t="s">
        <v>255</v>
      </c>
      <c r="H28" s="48" t="n">
        <f aca="false">SUM(H26:H27)</f>
        <v>2754</v>
      </c>
      <c r="I28" s="48"/>
      <c r="J28" s="48"/>
      <c r="K28" s="48"/>
      <c r="L28" s="48"/>
    </row>
    <row r="29" customFormat="false" ht="14.25" hidden="false" customHeight="true" outlineLevel="0" collapsed="false">
      <c r="G29" s="1" t="s">
        <v>256</v>
      </c>
      <c r="H29" s="1" t="n">
        <f aca="false">('P&amp;L'!F29)*4</f>
        <v>-208</v>
      </c>
      <c r="I29" s="1" t="s">
        <v>257</v>
      </c>
    </row>
    <row r="30" customFormat="false" ht="14.25" hidden="false" customHeight="true" outlineLevel="0" collapsed="false">
      <c r="G30" s="71" t="s">
        <v>258</v>
      </c>
      <c r="H30" s="71" t="n">
        <f aca="false">H28+H29</f>
        <v>2546</v>
      </c>
      <c r="I30" s="71"/>
      <c r="J30" s="71"/>
      <c r="K30" s="71"/>
      <c r="L30" s="71"/>
    </row>
    <row r="32" customFormat="false" ht="14.25" hidden="false" customHeight="true" outlineLevel="0" collapsed="false">
      <c r="G32" s="4" t="s">
        <v>259</v>
      </c>
      <c r="H32" s="4" t="n">
        <f aca="false">'P&amp;L'!F26*4</f>
        <v>2836</v>
      </c>
      <c r="I32" s="4"/>
      <c r="J32" s="4"/>
      <c r="K32" s="4"/>
      <c r="L32" s="4"/>
    </row>
    <row r="33" customFormat="false" ht="14.25" hidden="false" customHeight="true" outlineLevel="0" collapsed="false">
      <c r="G33" s="1" t="s">
        <v>260</v>
      </c>
      <c r="H33" s="1" t="n">
        <f aca="false">H28-H32</f>
        <v>-82</v>
      </c>
    </row>
    <row r="34" customFormat="false" ht="14.25" hidden="false" customHeight="true" outlineLevel="0" collapsed="false">
      <c r="G34" s="10" t="s">
        <v>261</v>
      </c>
      <c r="H34" s="44" t="n">
        <f aca="false">H33/H32</f>
        <v>-0.0289139633286319</v>
      </c>
      <c r="I34" s="10"/>
      <c r="J34" s="10"/>
      <c r="K34" s="10"/>
      <c r="L34" s="10"/>
    </row>
    <row r="38" customFormat="false" ht="23.25" hidden="false" customHeight="true" outlineLevel="0" collapsed="false">
      <c r="G38" s="15" t="s">
        <v>262</v>
      </c>
      <c r="H38" s="15"/>
      <c r="I38" s="15"/>
      <c r="J38" s="15"/>
      <c r="K38" s="15"/>
      <c r="L38" s="15"/>
    </row>
    <row r="39" customFormat="false" ht="14.25" hidden="false" customHeight="true" outlineLevel="0" collapsed="false">
      <c r="G39" s="20" t="s">
        <v>220</v>
      </c>
      <c r="H39" s="20" t="s">
        <v>221</v>
      </c>
      <c r="I39" s="20" t="s">
        <v>230</v>
      </c>
      <c r="J39" s="20" t="s">
        <v>231</v>
      </c>
      <c r="K39" s="20" t="s">
        <v>232</v>
      </c>
      <c r="L39" s="20" t="s">
        <v>233</v>
      </c>
    </row>
    <row r="40" customFormat="false" ht="14.25" hidden="false" customHeight="true" outlineLevel="0" collapsed="false">
      <c r="G40" s="4" t="s">
        <v>263</v>
      </c>
      <c r="H40" s="4" t="n">
        <f aca="false">H12</f>
        <v>2245</v>
      </c>
      <c r="I40" s="4" t="n">
        <f aca="false">I12</f>
        <v>396</v>
      </c>
      <c r="J40" s="4" t="n">
        <f aca="false">J12</f>
        <v>271</v>
      </c>
      <c r="K40" s="4" t="n">
        <f aca="false">K12</f>
        <v>130</v>
      </c>
      <c r="L40" s="4" t="n">
        <f aca="false">L12</f>
        <v>3042</v>
      </c>
    </row>
    <row r="41" customFormat="false" ht="14.25" hidden="false" customHeight="true" outlineLevel="0" collapsed="false">
      <c r="G41" s="1" t="s">
        <v>264</v>
      </c>
      <c r="H41" s="8" t="n">
        <f aca="false">H8/L8</f>
        <v>0.674219605756821</v>
      </c>
      <c r="I41" s="8" t="n">
        <f aca="false">I8/'Rent Roll'!L8</f>
        <v>0.150207027377053</v>
      </c>
      <c r="J41" s="8" t="n">
        <f aca="false">J8/L8</f>
        <v>0.121071831289929</v>
      </c>
      <c r="K41" s="8" t="n">
        <f aca="false">K8/L8</f>
        <v>0.0545015355761971</v>
      </c>
      <c r="L41" s="8" t="n">
        <f aca="false">SUM(H41:K41)</f>
        <v>1</v>
      </c>
    </row>
    <row r="42" customFormat="false" ht="14.25" hidden="false" customHeight="true" outlineLevel="0" collapsed="false">
      <c r="G42" s="4" t="s">
        <v>265</v>
      </c>
      <c r="H42" s="17" t="n">
        <f aca="false">-(H41*'P&amp;L'!F48)</f>
        <v>-194.175246457964</v>
      </c>
      <c r="I42" s="17" t="n">
        <f aca="false">-'P&amp;L'!F48*'Rent Roll'!I41</f>
        <v>-43.2596238845913</v>
      </c>
      <c r="J42" s="17" t="n">
        <f aca="false">-'P&amp;L'!F48*'Rent Roll'!J41</f>
        <v>-34.8686874114995</v>
      </c>
      <c r="K42" s="17" t="n">
        <f aca="false">-K41*'P&amp;L'!F48</f>
        <v>-15.6964422459448</v>
      </c>
      <c r="L42" s="54" t="n">
        <f aca="false">SUM(H42:K42)</f>
        <v>-288</v>
      </c>
    </row>
    <row r="43" customFormat="false" ht="14.25" hidden="false" customHeight="true" outlineLevel="0" collapsed="false">
      <c r="G43" s="1" t="s">
        <v>266</v>
      </c>
      <c r="H43" s="18" t="n">
        <f aca="false">H40+H42</f>
        <v>2050.82475354204</v>
      </c>
      <c r="I43" s="18" t="n">
        <f aca="false">I40+I42</f>
        <v>352.740376115409</v>
      </c>
      <c r="J43" s="18" t="n">
        <f aca="false">J40+J42</f>
        <v>236.131312588501</v>
      </c>
      <c r="K43" s="18" t="n">
        <f aca="false">K40+K42</f>
        <v>114.303557754055</v>
      </c>
      <c r="L43" s="47" t="n">
        <f aca="false">SUM(H43:K43)</f>
        <v>2754</v>
      </c>
    </row>
    <row r="44" customFormat="false" ht="14.25" hidden="false" customHeight="true" outlineLevel="0" collapsed="false">
      <c r="G44" s="4" t="s">
        <v>267</v>
      </c>
      <c r="H44" s="17" t="n">
        <f aca="false">-H42*1000000/H8</f>
        <v>257.944558041556</v>
      </c>
      <c r="I44" s="17" t="n">
        <f aca="false">-I42*1000000/I8</f>
        <v>257.944558041556</v>
      </c>
      <c r="J44" s="17" t="n">
        <f aca="false">-J42*1000000/J8</f>
        <v>257.944558041556</v>
      </c>
      <c r="K44" s="17" t="n">
        <f aca="false">-K42*1000000/K8</f>
        <v>257.944558041556</v>
      </c>
      <c r="L44" s="54" t="n">
        <f aca="false">AVERAGE(H44:K44)</f>
        <v>257.944558041556</v>
      </c>
    </row>
    <row r="45" customFormat="false" ht="14.25" hidden="false" customHeight="true" outlineLevel="0" collapsed="false">
      <c r="G45" s="1" t="s">
        <v>268</v>
      </c>
      <c r="H45" s="8" t="n">
        <f aca="false">H43/H40</f>
        <v>0.913507685319392</v>
      </c>
      <c r="I45" s="8" t="n">
        <f aca="false">I43/I40</f>
        <v>0.890758525543961</v>
      </c>
      <c r="J45" s="8" t="n">
        <f aca="false">J43/J40</f>
        <v>0.871333256784135</v>
      </c>
      <c r="K45" s="8" t="n">
        <f aca="false">K43/K40</f>
        <v>0.879258136569656</v>
      </c>
      <c r="L45" s="8" t="n">
        <f aca="false">AVERAGE(H45:K45)</f>
        <v>0.888714401054286</v>
      </c>
    </row>
    <row r="46" customFormat="false" ht="14.25" hidden="false" customHeight="true" outlineLevel="0" collapsed="false">
      <c r="G46" s="4" t="s">
        <v>269</v>
      </c>
      <c r="H46" s="34" t="n">
        <f aca="false">H43/H11</f>
        <v>0.0472660064426937</v>
      </c>
      <c r="I46" s="34" t="n">
        <f aca="false">I43/I11</f>
        <v>0.0528291712019483</v>
      </c>
      <c r="J46" s="34" t="n">
        <f aca="false">J43/J11</f>
        <v>0.0525436832640188</v>
      </c>
      <c r="K46" s="34" t="n">
        <f aca="false">K43/K11</f>
        <v>0.0546123066192333</v>
      </c>
      <c r="L46" s="34" t="n">
        <f aca="false">AVERAGE(H46:K46)</f>
        <v>0.0518127918819735</v>
      </c>
    </row>
    <row r="47" customFormat="false" ht="14.25" hidden="false" customHeight="true" outlineLevel="0" collapsed="false">
      <c r="G47" s="1" t="s">
        <v>270</v>
      </c>
      <c r="H47" s="8" t="n">
        <f aca="false">H43/L43</f>
        <v>0.744671297582438</v>
      </c>
      <c r="I47" s="8" t="n">
        <f aca="false">I43/L43</f>
        <v>0.128082925241615</v>
      </c>
      <c r="J47" s="8" t="n">
        <f aca="false">J43/L43</f>
        <v>0.0857412173523967</v>
      </c>
      <c r="K47" s="8" t="n">
        <f aca="false">K43/L43</f>
        <v>0.0415045598235495</v>
      </c>
      <c r="L47" s="8" t="n">
        <f aca="false">SUM(H47:K47)</f>
        <v>1</v>
      </c>
    </row>
    <row r="48" customFormat="false" ht="14.25" hidden="false" customHeight="true" outlineLevel="0" collapsed="false">
      <c r="G48" s="48" t="s">
        <v>271</v>
      </c>
      <c r="H48" s="48"/>
      <c r="I48" s="48"/>
      <c r="J48" s="48"/>
      <c r="K48" s="48"/>
      <c r="L48" s="51" t="n">
        <f aca="false">L43-H28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C20" colorId="64" zoomScale="73" zoomScaleNormal="73" zoomScalePageLayoutView="100" workbookViewId="0">
      <selection pane="topLeft" activeCell="G41" activeCellId="0" sqref="G4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8.18"/>
    <col collapsed="false" customWidth="true" hidden="false" outlineLevel="0" max="2" min="2" style="1" width="13.27"/>
    <col collapsed="false" customWidth="true" hidden="false" outlineLevel="0" max="7" min="7" style="1" width="40.91"/>
    <col collapsed="false" customWidth="true" hidden="false" outlineLevel="0" max="8" min="8" style="1" width="14.27"/>
    <col collapsed="false" customWidth="true" hidden="true" outlineLevel="0" max="16" min="16" style="1" width="9.14"/>
  </cols>
  <sheetData>
    <row r="1" customFormat="false" ht="14.25" hidden="false" customHeight="true" outlineLevel="0" collapsed="false"/>
    <row r="5" customFormat="false" ht="23.25" hidden="false" customHeight="true" outlineLevel="0" collapsed="false">
      <c r="G5" s="15" t="s">
        <v>272</v>
      </c>
      <c r="H5" s="22"/>
    </row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>
      <c r="G8" s="22" t="s">
        <v>222</v>
      </c>
      <c r="H8" s="22" t="s">
        <v>273</v>
      </c>
    </row>
    <row r="9" customFormat="false" ht="14.25" hidden="false" customHeight="true" outlineLevel="0" collapsed="false">
      <c r="G9" s="4" t="s">
        <v>274</v>
      </c>
      <c r="H9" s="69" t="n">
        <v>56653</v>
      </c>
    </row>
    <row r="10" customFormat="false" ht="14.25" hidden="false" customHeight="true" outlineLevel="0" collapsed="false">
      <c r="G10" s="1" t="s">
        <v>275</v>
      </c>
      <c r="H10" s="70" t="n">
        <v>4750</v>
      </c>
    </row>
    <row r="11" customFormat="false" ht="14.25" hidden="false" customHeight="true" outlineLevel="0" collapsed="false">
      <c r="G11" s="4" t="s">
        <v>276</v>
      </c>
      <c r="H11" s="69" t="n">
        <v>588</v>
      </c>
    </row>
    <row r="12" customFormat="false" ht="14.25" hidden="false" customHeight="true" outlineLevel="0" collapsed="false">
      <c r="G12" s="1" t="s">
        <v>277</v>
      </c>
      <c r="H12" s="72" t="n">
        <f aca="false">SUM(H9:H11)</f>
        <v>61991</v>
      </c>
    </row>
    <row r="13" customFormat="false" ht="14.25" hidden="false" customHeight="true" outlineLevel="0" collapsed="false"/>
    <row r="14" customFormat="false" ht="14.25" hidden="false" customHeight="true" outlineLevel="0" collapsed="false">
      <c r="G14" s="22" t="s">
        <v>278</v>
      </c>
      <c r="H14" s="22"/>
    </row>
    <row r="15" customFormat="false" ht="14.25" hidden="false" customHeight="true" outlineLevel="0" collapsed="false">
      <c r="G15" s="1" t="s">
        <v>279</v>
      </c>
      <c r="H15" s="70" t="n">
        <v>30887</v>
      </c>
    </row>
    <row r="16" customFormat="false" ht="14.25" hidden="false" customHeight="true" outlineLevel="0" collapsed="false">
      <c r="G16" s="22" t="s">
        <v>280</v>
      </c>
      <c r="H16" s="22"/>
    </row>
    <row r="17" customFormat="false" ht="14.25" hidden="false" customHeight="true" outlineLevel="0" collapsed="false">
      <c r="G17" s="4" t="s">
        <v>281</v>
      </c>
      <c r="H17" s="69" t="n">
        <v>24750</v>
      </c>
    </row>
    <row r="18" customFormat="false" ht="14.25" hidden="false" customHeight="true" outlineLevel="0" collapsed="false">
      <c r="G18" s="1" t="s">
        <v>282</v>
      </c>
      <c r="H18" s="70" t="n">
        <v>34</v>
      </c>
    </row>
    <row r="19" customFormat="false" ht="14.25" hidden="false" customHeight="true" outlineLevel="0" collapsed="false">
      <c r="G19" s="4" t="s">
        <v>283</v>
      </c>
      <c r="H19" s="69" t="n">
        <v>6464</v>
      </c>
    </row>
    <row r="20" customFormat="false" ht="14.25" hidden="false" customHeight="true" outlineLevel="0" collapsed="false">
      <c r="G20" s="1" t="s">
        <v>284</v>
      </c>
      <c r="H20" s="70" t="n">
        <v>-422</v>
      </c>
    </row>
    <row r="21" customFormat="false" ht="14.25" hidden="false" customHeight="true" outlineLevel="0" collapsed="false">
      <c r="G21" s="4" t="s">
        <v>285</v>
      </c>
      <c r="H21" s="73" t="n">
        <f aca="false">SUM(H17:H20)</f>
        <v>30826</v>
      </c>
    </row>
    <row r="22" customFormat="false" ht="14.25" hidden="false" customHeight="true" outlineLevel="0" collapsed="false"/>
    <row r="23" customFormat="false" ht="14.25" hidden="false" customHeight="true" outlineLevel="0" collapsed="false">
      <c r="G23" s="22" t="s">
        <v>286</v>
      </c>
      <c r="H23" s="22"/>
    </row>
    <row r="24" customFormat="false" ht="14.25" hidden="false" customHeight="true" outlineLevel="0" collapsed="false">
      <c r="G24" s="4" t="s">
        <v>287</v>
      </c>
      <c r="H24" s="69" t="n">
        <v>182.1</v>
      </c>
    </row>
    <row r="25" customFormat="false" ht="3" hidden="false" customHeight="true" outlineLevel="0" collapsed="false">
      <c r="A25" s="1" t="s">
        <v>288</v>
      </c>
      <c r="B25" s="1" t="n">
        <f aca="false">H28-H25</f>
        <v>-2.28061504667767</v>
      </c>
      <c r="G25" s="1" t="s">
        <v>289</v>
      </c>
      <c r="H25" s="72" t="n">
        <f aca="false">H21/H24</f>
        <v>169.280615046678</v>
      </c>
    </row>
    <row r="26" customFormat="false" ht="14.25" hidden="true" customHeight="true" outlineLevel="0" collapsed="false">
      <c r="G26" s="4"/>
      <c r="H26" s="4"/>
    </row>
    <row r="27" customFormat="false" ht="14.25" hidden="true" customHeight="true" outlineLevel="0" collapsed="false">
      <c r="G27" s="1" t="s">
        <v>290</v>
      </c>
    </row>
    <row r="28" customFormat="false" ht="14.25" hidden="false" customHeight="true" outlineLevel="0" collapsed="false">
      <c r="G28" s="10" t="s">
        <v>291</v>
      </c>
      <c r="H28" s="74" t="n">
        <v>167</v>
      </c>
    </row>
    <row r="31" customFormat="false" ht="23.25" hidden="false" customHeight="true" outlineLevel="0" collapsed="false">
      <c r="G31" s="15" t="s">
        <v>292</v>
      </c>
      <c r="H31" s="15"/>
    </row>
    <row r="32" customFormat="false" ht="14.25" hidden="false" customHeight="true" outlineLevel="0" collapsed="false">
      <c r="G32" s="20" t="s">
        <v>249</v>
      </c>
      <c r="H32" s="20" t="s">
        <v>119</v>
      </c>
    </row>
    <row r="33" customFormat="false" ht="14.25" hidden="false" customHeight="true" outlineLevel="0" collapsed="false">
      <c r="G33" s="4" t="s">
        <v>293</v>
      </c>
      <c r="H33" s="39" t="n">
        <f aca="false">Valuation!H12</f>
        <v>61991</v>
      </c>
    </row>
    <row r="34" customFormat="false" ht="14.25" hidden="false" customHeight="true" outlineLevel="0" collapsed="false">
      <c r="G34" s="1" t="s">
        <v>294</v>
      </c>
      <c r="H34" s="1" t="n">
        <f aca="false">Transaction!L5</f>
        <v>30955</v>
      </c>
    </row>
    <row r="35" customFormat="false" ht="14.25" hidden="false" customHeight="true" outlineLevel="0" collapsed="false">
      <c r="G35" s="4" t="s">
        <v>295</v>
      </c>
      <c r="H35" s="4" t="n">
        <v>181.2</v>
      </c>
    </row>
    <row r="36" customFormat="false" ht="14.25" hidden="false" customHeight="true" outlineLevel="0" collapsed="false">
      <c r="G36" s="1" t="s">
        <v>296</v>
      </c>
      <c r="H36" s="1" t="n">
        <v>163.29</v>
      </c>
    </row>
    <row r="37" customFormat="false" ht="14.25" hidden="false" customHeight="true" outlineLevel="0" collapsed="false">
      <c r="G37" s="4" t="s">
        <v>297</v>
      </c>
      <c r="H37" s="4" t="n">
        <v>161.45</v>
      </c>
    </row>
    <row r="38" customFormat="false" ht="14.25" hidden="false" customHeight="true" outlineLevel="0" collapsed="false">
      <c r="G38" s="48" t="s">
        <v>298</v>
      </c>
      <c r="H38" s="49" t="n">
        <f aca="false">H35*H36</f>
        <v>29588.148</v>
      </c>
    </row>
    <row r="40" customFormat="false" ht="14.25" hidden="false" customHeight="true" outlineLevel="0" collapsed="false">
      <c r="G40" s="1" t="s">
        <v>299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3:J36"/>
  <sheetViews>
    <sheetView showFormulas="false" showGridLines="false" showRowColHeaders="true" showZeros="true" rightToLeft="false" tabSelected="false" showOutlineSymbols="true" defaultGridColor="true" view="normal" topLeftCell="A11" colorId="64" zoomScale="56" zoomScaleNormal="56" zoomScalePageLayoutView="100" workbookViewId="0">
      <selection pane="topLeft" activeCell="G31" activeCellId="0" sqref="G3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26.91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6" min="6" style="1" width="26.91"/>
    <col collapsed="false" customWidth="true" hidden="false" outlineLevel="0" max="7" min="7" style="1" width="14"/>
    <col collapsed="false" customWidth="true" hidden="false" outlineLevel="0" max="8" min="8" style="1" width="11"/>
  </cols>
  <sheetData>
    <row r="3" customFormat="false" ht="14.25" hidden="false" customHeight="true" outlineLevel="0" collapsed="false"/>
    <row r="4" customFormat="false" ht="14.25" hidden="false" customHeight="true" outlineLevel="0" collapsed="false">
      <c r="F4" s="22" t="s">
        <v>300</v>
      </c>
      <c r="G4" s="22" t="s">
        <v>273</v>
      </c>
      <c r="H4" s="19"/>
      <c r="I4" s="19"/>
      <c r="J4" s="19"/>
    </row>
    <row r="5" customFormat="false" ht="14.25" hidden="false" customHeight="true" outlineLevel="0" collapsed="false">
      <c r="F5" s="4" t="s">
        <v>301</v>
      </c>
      <c r="G5" s="4" t="n">
        <v>20684</v>
      </c>
      <c r="H5" s="4"/>
      <c r="I5" s="4"/>
      <c r="J5" s="4"/>
    </row>
    <row r="6" customFormat="false" ht="14.25" hidden="false" customHeight="true" outlineLevel="0" collapsed="false">
      <c r="F6" s="33" t="s">
        <v>5</v>
      </c>
      <c r="G6" s="33" t="n">
        <v>31136</v>
      </c>
      <c r="H6" s="33"/>
      <c r="I6" s="33"/>
      <c r="J6" s="33"/>
    </row>
    <row r="7" customFormat="false" ht="14.25" hidden="false" customHeight="true" outlineLevel="0" collapsed="false">
      <c r="F7" s="4" t="s">
        <v>302</v>
      </c>
      <c r="G7" s="4" t="n">
        <f aca="false">G6-G5</f>
        <v>10452</v>
      </c>
      <c r="H7" s="4"/>
      <c r="I7" s="4"/>
      <c r="J7" s="4"/>
    </row>
    <row r="8" customFormat="false" ht="14.25" hidden="false" customHeight="true" outlineLevel="0" collapsed="false">
      <c r="F8" s="1" t="s">
        <v>303</v>
      </c>
      <c r="G8" s="1" t="n">
        <f aca="false">G5/G6</f>
        <v>0.664311408016444</v>
      </c>
    </row>
    <row r="9" customFormat="false" ht="14.25" hidden="false" customHeight="true" outlineLevel="0" collapsed="false">
      <c r="F9" s="4" t="s">
        <v>304</v>
      </c>
      <c r="G9" s="34" t="n">
        <v>0.0248</v>
      </c>
      <c r="H9" s="4"/>
      <c r="I9" s="4"/>
      <c r="J9" s="4"/>
    </row>
    <row r="10" customFormat="false" ht="14.25" hidden="false" customHeight="true" outlineLevel="0" collapsed="false">
      <c r="F10" s="5" t="s">
        <v>305</v>
      </c>
      <c r="G10" s="6" t="n">
        <v>0.0094</v>
      </c>
      <c r="H10" s="5"/>
      <c r="I10" s="5"/>
      <c r="J10" s="5"/>
    </row>
    <row r="11" customFormat="false" ht="14.25" hidden="false" customHeight="true" outlineLevel="0" collapsed="false"/>
    <row r="12" customFormat="false" ht="14.25" hidden="false" customHeight="true" outlineLevel="0" collapsed="false">
      <c r="F12" s="75" t="s">
        <v>306</v>
      </c>
      <c r="G12" s="75" t="s">
        <v>273</v>
      </c>
      <c r="H12" s="75" t="s">
        <v>307</v>
      </c>
    </row>
    <row r="13" customFormat="false" ht="14.25" hidden="false" customHeight="true" outlineLevel="0" collapsed="false">
      <c r="F13" s="22" t="s">
        <v>308</v>
      </c>
      <c r="G13" s="22" t="s">
        <v>309</v>
      </c>
      <c r="H13" s="22" t="s">
        <v>310</v>
      </c>
      <c r="I13" s="19"/>
      <c r="J13" s="19"/>
    </row>
    <row r="14" customFormat="false" ht="14.25" hidden="false" customHeight="true" outlineLevel="0" collapsed="false">
      <c r="F14" s="1" t="s">
        <v>311</v>
      </c>
      <c r="G14" s="1" t="n">
        <v>3384</v>
      </c>
      <c r="H14" s="8" t="n">
        <v>0.0196</v>
      </c>
    </row>
    <row r="15" customFormat="false" ht="14.25" hidden="false" customHeight="true" outlineLevel="0" collapsed="false">
      <c r="F15" s="4" t="s">
        <v>312</v>
      </c>
      <c r="G15" s="4" t="n">
        <v>3200</v>
      </c>
      <c r="H15" s="34" t="n">
        <v>0.0182</v>
      </c>
      <c r="I15" s="4"/>
      <c r="J15" s="4"/>
    </row>
    <row r="16" customFormat="false" ht="14.25" hidden="false" customHeight="true" outlineLevel="0" collapsed="false">
      <c r="F16" s="1" t="s">
        <v>313</v>
      </c>
      <c r="G16" s="1" t="n">
        <v>0</v>
      </c>
      <c r="H16" s="25" t="n">
        <v>0</v>
      </c>
    </row>
    <row r="17" customFormat="false" ht="14.25" hidden="false" customHeight="true" outlineLevel="0" collapsed="false">
      <c r="F17" s="4" t="s">
        <v>314</v>
      </c>
      <c r="G17" s="4" t="n">
        <v>7100</v>
      </c>
      <c r="H17" s="34" t="n">
        <v>0.0243</v>
      </c>
      <c r="I17" s="4"/>
      <c r="J17" s="4"/>
    </row>
    <row r="18" customFormat="false" ht="14.25" hidden="false" customHeight="true" outlineLevel="0" collapsed="false">
      <c r="F18" s="1" t="s">
        <v>315</v>
      </c>
      <c r="G18" s="1" t="n">
        <v>1300</v>
      </c>
      <c r="H18" s="8" t="n">
        <v>0.034</v>
      </c>
    </row>
    <row r="19" customFormat="false" ht="14.25" hidden="false" customHeight="true" outlineLevel="0" collapsed="false">
      <c r="F19" s="4" t="s">
        <v>316</v>
      </c>
      <c r="G19" s="4" t="n">
        <v>3900</v>
      </c>
      <c r="H19" s="34" t="n">
        <v>0.031</v>
      </c>
      <c r="I19" s="4"/>
      <c r="J19" s="4"/>
    </row>
    <row r="20" customFormat="false" ht="14.25" hidden="false" customHeight="true" outlineLevel="0" collapsed="false">
      <c r="F20" s="1" t="s">
        <v>317</v>
      </c>
      <c r="G20" s="1" t="n">
        <v>0</v>
      </c>
      <c r="H20" s="8" t="n">
        <v>0</v>
      </c>
    </row>
    <row r="21" customFormat="false" ht="14.25" hidden="false" customHeight="true" outlineLevel="0" collapsed="false">
      <c r="F21" s="4" t="s">
        <v>318</v>
      </c>
      <c r="G21" s="4" t="n">
        <v>800</v>
      </c>
      <c r="H21" s="34" t="n">
        <v>0.0331</v>
      </c>
      <c r="I21" s="4"/>
      <c r="J21" s="4"/>
    </row>
    <row r="22" customFormat="false" ht="14.25" hidden="false" customHeight="true" outlineLevel="0" collapsed="false">
      <c r="F22" s="5" t="s">
        <v>233</v>
      </c>
      <c r="G22" s="5" t="n">
        <f aca="false">SUM(G14:G21)</f>
        <v>19684</v>
      </c>
      <c r="H22" s="6" t="n">
        <f aca="false">SUMPRODUCT(G14:G21,H14:H21)/G22</f>
        <v>0.0248260719365983</v>
      </c>
      <c r="I22" s="5"/>
      <c r="J22" s="5"/>
    </row>
    <row r="23" customFormat="false" ht="14.25" hidden="false" customHeight="true" outlineLevel="0" collapsed="false"/>
    <row r="24" customFormat="false" ht="14.25" hidden="false" customHeight="true" outlineLevel="0" collapsed="false">
      <c r="F24" s="22" t="s">
        <v>319</v>
      </c>
      <c r="G24" s="22" t="s">
        <v>320</v>
      </c>
      <c r="H24" s="22" t="s">
        <v>181</v>
      </c>
      <c r="I24" s="22" t="s">
        <v>182</v>
      </c>
      <c r="J24" s="22" t="s">
        <v>321</v>
      </c>
    </row>
    <row r="25" customFormat="false" ht="14.25" hidden="false" customHeight="true" outlineLevel="0" collapsed="false">
      <c r="F25" s="4" t="s">
        <v>322</v>
      </c>
      <c r="G25" s="4" t="n">
        <f aca="false">G5</f>
        <v>20684</v>
      </c>
      <c r="H25" s="4" t="n">
        <f aca="false">G27</f>
        <v>17300</v>
      </c>
      <c r="I25" s="4" t="n">
        <f aca="false">H27</f>
        <v>14100</v>
      </c>
      <c r="J25" s="4" t="n">
        <f aca="false">I27</f>
        <v>14100</v>
      </c>
    </row>
    <row r="26" customFormat="false" ht="14.25" hidden="false" customHeight="true" outlineLevel="0" collapsed="false">
      <c r="F26" s="1" t="s">
        <v>323</v>
      </c>
      <c r="G26" s="1" t="n">
        <f aca="false">G14</f>
        <v>3384</v>
      </c>
      <c r="H26" s="1" t="n">
        <f aca="false">G15</f>
        <v>3200</v>
      </c>
      <c r="I26" s="1" t="n">
        <f aca="false">G16</f>
        <v>0</v>
      </c>
      <c r="J26" s="1" t="n">
        <f aca="false">G17</f>
        <v>7100</v>
      </c>
    </row>
    <row r="27" customFormat="false" ht="14.25" hidden="false" customHeight="true" outlineLevel="0" collapsed="false">
      <c r="F27" s="4" t="s">
        <v>324</v>
      </c>
      <c r="G27" s="4" t="n">
        <f aca="false">G25-G26</f>
        <v>17300</v>
      </c>
      <c r="H27" s="4" t="n">
        <f aca="false">H25-H26</f>
        <v>14100</v>
      </c>
      <c r="I27" s="4" t="n">
        <f aca="false">I25</f>
        <v>14100</v>
      </c>
      <c r="J27" s="4" t="n">
        <f aca="false">J25-J26</f>
        <v>7000</v>
      </c>
    </row>
    <row r="28" customFormat="false" ht="14.25" hidden="false" customHeight="true" outlineLevel="0" collapsed="false">
      <c r="F28" s="1" t="s">
        <v>325</v>
      </c>
      <c r="G28" s="8" t="n">
        <f aca="false">SUMPRODUCT(G15:G21,H15:H21)/SUM(G15:G21)</f>
        <v>0.0259110429447853</v>
      </c>
      <c r="H28" s="8" t="n">
        <f aca="false">SUMPRODUCT(G16:G21,H16:H21)/SUM(G16:G21)</f>
        <v>0.0277946564885496</v>
      </c>
      <c r="I28" s="8" t="n">
        <f aca="false">SUMPRODUCT(G16:G21,H16:H21)/SUM(G16:G21)</f>
        <v>0.0277946564885496</v>
      </c>
      <c r="J28" s="8" t="n">
        <f aca="false">SUMPRODUCT(G18:G21,H18:H21)/SUM(G18:G21)</f>
        <v>0.03193</v>
      </c>
    </row>
    <row r="29" customFormat="false" ht="14.25" hidden="false" customHeight="true" outlineLevel="0" collapsed="false">
      <c r="F29" s="4" t="s">
        <v>326</v>
      </c>
      <c r="G29" s="4" t="n">
        <f aca="false">G6-G27</f>
        <v>13836</v>
      </c>
      <c r="H29" s="4" t="n">
        <f aca="false">G6-H27</f>
        <v>17036</v>
      </c>
      <c r="I29" s="4" t="n">
        <f aca="false">G7</f>
        <v>10452</v>
      </c>
      <c r="J29" s="4" t="n">
        <f aca="false">G6-J27</f>
        <v>24136</v>
      </c>
    </row>
    <row r="30" customFormat="false" ht="14.25" hidden="false" customHeight="true" outlineLevel="0" collapsed="false">
      <c r="F30" s="1" t="s">
        <v>187</v>
      </c>
      <c r="G30" s="8" t="n">
        <f aca="false">Assumptions!D18</f>
        <v>0.0543</v>
      </c>
      <c r="H30" s="8" t="n">
        <f aca="false">Assumptions!E18</f>
        <v>0.0553</v>
      </c>
      <c r="I30" s="8" t="n">
        <f aca="false">Assumptions!F18</f>
        <v>0.0493</v>
      </c>
      <c r="J30" s="8" t="n">
        <f aca="false">I30</f>
        <v>0.0493</v>
      </c>
    </row>
    <row r="31" customFormat="false" ht="14.25" hidden="false" customHeight="true" outlineLevel="0" collapsed="false">
      <c r="F31" s="4" t="s">
        <v>327</v>
      </c>
      <c r="G31" s="17" t="n">
        <f aca="false">G29*G30</f>
        <v>751.2948</v>
      </c>
      <c r="H31" s="17" t="n">
        <f aca="false">H29*H30</f>
        <v>942.0908</v>
      </c>
      <c r="I31" s="17" t="n">
        <f aca="false">I29*I30</f>
        <v>515.2836</v>
      </c>
      <c r="J31" s="17" t="n">
        <f aca="false">J29*J30</f>
        <v>1189.9048</v>
      </c>
    </row>
    <row r="32" customFormat="false" ht="14.25" hidden="false" customHeight="true" outlineLevel="0" collapsed="false">
      <c r="F32" s="1" t="s">
        <v>328</v>
      </c>
      <c r="G32" s="76" t="n">
        <f aca="false">G27*G28</f>
        <v>448.261042944785</v>
      </c>
      <c r="H32" s="76" t="n">
        <f aca="false">H27*H28</f>
        <v>391.90465648855</v>
      </c>
      <c r="I32" s="76" t="n">
        <f aca="false">I27*I28</f>
        <v>391.90465648855</v>
      </c>
      <c r="J32" s="76" t="n">
        <f aca="false">J27*J28</f>
        <v>223.51</v>
      </c>
    </row>
    <row r="33" customFormat="false" ht="14.25" hidden="false" customHeight="true" outlineLevel="0" collapsed="false">
      <c r="F33" s="4" t="s">
        <v>329</v>
      </c>
      <c r="G33" s="77" t="n">
        <f aca="false">G31+G32</f>
        <v>1199.55584294479</v>
      </c>
      <c r="H33" s="77" t="n">
        <f aca="false">H31+H32</f>
        <v>1333.99545648855</v>
      </c>
      <c r="I33" s="77" t="n">
        <f aca="false">I31+I32</f>
        <v>907.18825648855</v>
      </c>
      <c r="J33" s="77" t="n">
        <f aca="false">J31+J32</f>
        <v>1413.4148</v>
      </c>
    </row>
    <row r="34" customFormat="false" ht="14.25" hidden="false" customHeight="true" outlineLevel="0" collapsed="false">
      <c r="F34" s="1" t="s">
        <v>330</v>
      </c>
      <c r="G34" s="47" t="n">
        <f aca="false">'Rent Roll'!H30/Debt!G33</f>
        <v>2.12245225178499</v>
      </c>
    </row>
    <row r="35" customFormat="false" ht="14.25" hidden="false" customHeight="true" outlineLevel="0" collapsed="false">
      <c r="F35" s="4" t="s">
        <v>331</v>
      </c>
      <c r="G35" s="4" t="s">
        <v>320</v>
      </c>
      <c r="H35" s="4"/>
      <c r="I35" s="4"/>
      <c r="J35" s="4"/>
    </row>
    <row r="36" customFormat="false" ht="14.25" hidden="false" customHeight="true" outlineLevel="0" collapsed="false">
      <c r="F36" s="5" t="s">
        <v>168</v>
      </c>
      <c r="G36" s="78" t="n">
        <f aca="false">'Rent Roll'!H30/Debt!G33</f>
        <v>2.12245225178499</v>
      </c>
      <c r="H36" s="78" t="n">
        <f aca="false">'Rent Roll'!H30/Debt!H33</f>
        <v>1.90855222753291</v>
      </c>
      <c r="I36" s="78" t="n">
        <f aca="false">'Rent Roll'!H30/Debt!I33</f>
        <v>2.80647371897735</v>
      </c>
      <c r="J3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L48"/>
  <sheetViews>
    <sheetView showFormulas="false" showGridLines="false" showRowColHeaders="true" showZeros="true" rightToLeft="false" tabSelected="false" showOutlineSymbols="true" defaultGridColor="true" view="normal" topLeftCell="D30" colorId="64" zoomScale="68" zoomScaleNormal="68" zoomScalePageLayoutView="100" workbookViewId="0">
      <selection pane="topLeft" activeCell="J56" activeCellId="0" sqref="J5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24.73"/>
    <col collapsed="false" customWidth="true" hidden="false" outlineLevel="0" max="4" min="2" style="1" width="11.45"/>
    <col collapsed="false" customWidth="true" hidden="false" outlineLevel="0" max="5" min="5" style="1" width="33.54"/>
    <col collapsed="false" customWidth="true" hidden="false" outlineLevel="0" max="7" min="6" style="1" width="16"/>
    <col collapsed="false" customWidth="true" hidden="false" outlineLevel="0" max="8" min="8" style="1" width="23"/>
    <col collapsed="false" customWidth="true" hidden="false" outlineLevel="0" max="9" min="9" style="1" width="9.36"/>
  </cols>
  <sheetData>
    <row r="1" customFormat="false" ht="15" hidden="false" customHeight="true" outlineLevel="0" collapsed="false"/>
    <row r="4" customFormat="false" ht="23.25" hidden="false" customHeight="true" outlineLevel="0" collapsed="false">
      <c r="E4" s="15" t="s">
        <v>332</v>
      </c>
      <c r="F4" s="15"/>
      <c r="G4" s="15"/>
      <c r="H4" s="15"/>
      <c r="I4" s="15"/>
      <c r="J4" s="19"/>
    </row>
    <row r="5" customFormat="false" ht="14.25" hidden="false" customHeight="true" outlineLevel="0" collapsed="false">
      <c r="E5" s="20" t="s">
        <v>333</v>
      </c>
      <c r="F5" s="20" t="s">
        <v>334</v>
      </c>
      <c r="G5" s="20" t="s">
        <v>335</v>
      </c>
      <c r="H5" s="20" t="s">
        <v>336</v>
      </c>
      <c r="I5" s="20"/>
      <c r="J5" s="20"/>
    </row>
    <row r="6" customFormat="false" ht="14.25" hidden="false" customHeight="true" outlineLevel="0" collapsed="false">
      <c r="E6" s="4" t="s">
        <v>337</v>
      </c>
      <c r="F6" s="4" t="n">
        <v>800</v>
      </c>
      <c r="G6" s="4" t="n">
        <v>770</v>
      </c>
      <c r="H6" s="4" t="n">
        <f aca="false">1544</f>
        <v>1544</v>
      </c>
      <c r="I6" s="4"/>
      <c r="J6" s="4"/>
    </row>
    <row r="7" customFormat="false" ht="14.25" hidden="false" customHeight="true" outlineLevel="0" collapsed="false">
      <c r="E7" s="1" t="s">
        <v>338</v>
      </c>
      <c r="F7" s="1" t="n">
        <v>0</v>
      </c>
      <c r="G7" s="1" t="n">
        <v>18</v>
      </c>
      <c r="H7" s="1" t="n">
        <v>37</v>
      </c>
    </row>
    <row r="8" customFormat="false" ht="14.25" hidden="false" customHeight="true" outlineLevel="0" collapsed="false">
      <c r="E8" s="4" t="s">
        <v>339</v>
      </c>
      <c r="F8" s="4" t="n">
        <v>-8</v>
      </c>
      <c r="G8" s="4" t="n">
        <v>-22</v>
      </c>
      <c r="H8" s="4" t="n">
        <f aca="false">-36</f>
        <v>-36</v>
      </c>
      <c r="I8" s="4"/>
      <c r="J8" s="4"/>
    </row>
    <row r="9" customFormat="false" ht="14.25" hidden="false" customHeight="true" outlineLevel="0" collapsed="false">
      <c r="E9" s="1" t="s">
        <v>340</v>
      </c>
      <c r="F9" s="1" t="n">
        <v>0</v>
      </c>
      <c r="G9" s="1" t="n">
        <v>0</v>
      </c>
      <c r="H9" s="1" t="n">
        <v>0</v>
      </c>
    </row>
    <row r="10" customFormat="false" ht="14.25" hidden="false" customHeight="true" outlineLevel="0" collapsed="false">
      <c r="E10" s="4" t="s">
        <v>341</v>
      </c>
      <c r="F10" s="4" t="n">
        <v>-1</v>
      </c>
      <c r="G10" s="4" t="n">
        <v>-2</v>
      </c>
      <c r="H10" s="4" t="n">
        <v>-3</v>
      </c>
      <c r="I10" s="4"/>
      <c r="J10" s="4"/>
    </row>
    <row r="11" customFormat="false" ht="14.25" hidden="false" customHeight="true" outlineLevel="0" collapsed="false">
      <c r="E11" s="1" t="s">
        <v>342</v>
      </c>
      <c r="F11" s="1" t="n">
        <v>0</v>
      </c>
      <c r="G11" s="1" t="n">
        <v>20</v>
      </c>
      <c r="H11" s="1" t="n">
        <v>41</v>
      </c>
    </row>
    <row r="12" customFormat="false" ht="14.25" hidden="false" customHeight="true" outlineLevel="0" collapsed="false">
      <c r="E12" s="4" t="s">
        <v>343</v>
      </c>
      <c r="F12" s="4" t="n">
        <v>-10</v>
      </c>
      <c r="G12" s="4" t="n">
        <v>-4</v>
      </c>
      <c r="H12" s="4" t="n">
        <v>0</v>
      </c>
      <c r="I12" s="4"/>
      <c r="J12" s="4"/>
    </row>
    <row r="13" customFormat="false" ht="14.25" hidden="false" customHeight="true" outlineLevel="0" collapsed="false">
      <c r="E13" s="1" t="s">
        <v>344</v>
      </c>
      <c r="F13" s="1" t="n">
        <v>0</v>
      </c>
      <c r="G13" s="1" t="n">
        <v>0</v>
      </c>
      <c r="H13" s="1" t="n">
        <v>-1</v>
      </c>
    </row>
    <row r="14" customFormat="false" ht="14.25" hidden="false" customHeight="true" outlineLevel="0" collapsed="false">
      <c r="E14" s="79" t="s">
        <v>345</v>
      </c>
      <c r="F14" s="79" t="n">
        <f aca="false">SUM(F6:F13)</f>
        <v>781</v>
      </c>
      <c r="G14" s="80" t="n">
        <f aca="false">SUM(G6:G13)</f>
        <v>780</v>
      </c>
      <c r="H14" s="80" t="n">
        <f aca="false">SUM(H6:H13)</f>
        <v>1582</v>
      </c>
      <c r="I14" s="10"/>
      <c r="J14" s="10"/>
    </row>
    <row r="15" customFormat="false" ht="23.25" hidden="false" customHeight="true" outlineLevel="0" collapsed="false">
      <c r="E15" s="81" t="s">
        <v>346</v>
      </c>
      <c r="F15" s="81"/>
      <c r="G15" s="81"/>
      <c r="H15" s="81"/>
      <c r="I15" s="81"/>
      <c r="J15" s="81"/>
    </row>
    <row r="16" customFormat="false" ht="14.25" hidden="false" customHeight="true" outlineLevel="0" collapsed="false">
      <c r="E16" s="20" t="s">
        <v>333</v>
      </c>
      <c r="F16" s="20" t="s">
        <v>68</v>
      </c>
      <c r="G16" s="20" t="s">
        <v>69</v>
      </c>
      <c r="H16" s="20" t="s">
        <v>70</v>
      </c>
      <c r="I16" s="20" t="s">
        <v>347</v>
      </c>
      <c r="J16" s="20" t="s">
        <v>348</v>
      </c>
    </row>
    <row r="17" customFormat="false" ht="14.25" hidden="false" customHeight="true" outlineLevel="0" collapsed="false">
      <c r="E17" s="4" t="s">
        <v>349</v>
      </c>
      <c r="F17" s="4" t="n">
        <v>6</v>
      </c>
      <c r="G17" s="4" t="n">
        <v>6</v>
      </c>
      <c r="H17" s="4" t="n">
        <v>5</v>
      </c>
      <c r="I17" s="4" t="n">
        <v>12</v>
      </c>
      <c r="J17" s="4" t="n">
        <v>9</v>
      </c>
    </row>
    <row r="18" customFormat="false" ht="14.25" hidden="false" customHeight="true" outlineLevel="0" collapsed="false">
      <c r="E18" s="1" t="s">
        <v>350</v>
      </c>
      <c r="F18" s="1" t="n">
        <v>17</v>
      </c>
      <c r="G18" s="1" t="n">
        <v>17</v>
      </c>
      <c r="H18" s="1" t="n">
        <v>17</v>
      </c>
      <c r="I18" s="1" t="n">
        <v>34</v>
      </c>
      <c r="J18" s="1" t="n">
        <v>35</v>
      </c>
    </row>
    <row r="19" customFormat="false" ht="14.25" hidden="false" customHeight="true" outlineLevel="0" collapsed="false">
      <c r="E19" s="4" t="s">
        <v>351</v>
      </c>
      <c r="F19" s="4" t="n">
        <v>25</v>
      </c>
      <c r="G19" s="4" t="n">
        <v>25</v>
      </c>
      <c r="H19" s="4" t="n">
        <v>19</v>
      </c>
      <c r="I19" s="4" t="n">
        <v>50</v>
      </c>
      <c r="J19" s="4" t="n">
        <v>43</v>
      </c>
    </row>
    <row r="20" customFormat="false" ht="14.25" hidden="false" customHeight="true" outlineLevel="0" collapsed="false">
      <c r="E20" s="1" t="s">
        <v>352</v>
      </c>
      <c r="F20" s="1" t="n">
        <v>24</v>
      </c>
      <c r="G20" s="1" t="n">
        <v>19</v>
      </c>
      <c r="H20" s="1" t="n">
        <v>17</v>
      </c>
      <c r="I20" s="1" t="n">
        <v>43</v>
      </c>
      <c r="J20" s="1" t="n">
        <v>37</v>
      </c>
    </row>
    <row r="21" customFormat="false" ht="14.25" hidden="false" customHeight="true" outlineLevel="0" collapsed="false">
      <c r="E21" s="79" t="s">
        <v>353</v>
      </c>
      <c r="F21" s="79" t="n">
        <f aca="false">SUM(F17:F20)</f>
        <v>72</v>
      </c>
      <c r="G21" s="79" t="n">
        <f aca="false">SUM(G17:G20)</f>
        <v>67</v>
      </c>
      <c r="H21" s="79" t="n">
        <f aca="false">SUM(H17:H20)</f>
        <v>58</v>
      </c>
      <c r="I21" s="79" t="n">
        <f aca="false">SUM(I17:I20)</f>
        <v>139</v>
      </c>
      <c r="J21" s="79" t="n">
        <f aca="false">SUM(J17:J20)</f>
        <v>124</v>
      </c>
    </row>
    <row r="22" customFormat="false" ht="23.25" hidden="false" customHeight="true" outlineLevel="0" collapsed="false">
      <c r="E22" s="15" t="s">
        <v>354</v>
      </c>
      <c r="F22" s="22"/>
      <c r="G22" s="22"/>
      <c r="H22" s="22"/>
      <c r="I22" s="22"/>
      <c r="J22" s="22"/>
    </row>
    <row r="23" customFormat="false" ht="14.25" hidden="false" customHeight="true" outlineLevel="0" collapsed="false">
      <c r="E23" s="20" t="s">
        <v>333</v>
      </c>
      <c r="F23" s="20" t="s">
        <v>68</v>
      </c>
      <c r="G23" s="20" t="s">
        <v>69</v>
      </c>
      <c r="H23" s="20" t="s">
        <v>70</v>
      </c>
      <c r="I23" s="20" t="s">
        <v>347</v>
      </c>
      <c r="J23" s="20" t="s">
        <v>348</v>
      </c>
    </row>
    <row r="24" customFormat="false" ht="14.25" hidden="false" customHeight="true" outlineLevel="0" collapsed="false">
      <c r="E24" s="4" t="s">
        <v>345</v>
      </c>
      <c r="F24" s="4" t="n">
        <v>781</v>
      </c>
      <c r="G24" s="4" t="n">
        <f aca="false">F6</f>
        <v>800</v>
      </c>
      <c r="H24" s="4" t="n">
        <v>770</v>
      </c>
      <c r="I24" s="4"/>
      <c r="J24" s="4"/>
    </row>
    <row r="25" customFormat="false" ht="14.25" hidden="false" customHeight="true" outlineLevel="0" collapsed="false">
      <c r="E25" s="1" t="s">
        <v>355</v>
      </c>
      <c r="F25" s="1" t="n">
        <v>-72</v>
      </c>
      <c r="G25" s="1" t="n">
        <v>-67</v>
      </c>
      <c r="H25" s="1" t="n">
        <v>-58</v>
      </c>
    </row>
    <row r="26" customFormat="false" ht="14.25" hidden="false" customHeight="true" outlineLevel="0" collapsed="false">
      <c r="E26" s="1" t="s">
        <v>356</v>
      </c>
      <c r="F26" s="1" t="n">
        <f aca="false">F14-F21</f>
        <v>709</v>
      </c>
      <c r="G26" s="76" t="n">
        <f aca="false">G24-G21</f>
        <v>733</v>
      </c>
      <c r="H26" s="76" t="n">
        <f aca="false">H24+H25</f>
        <v>712</v>
      </c>
    </row>
    <row r="27" customFormat="false" ht="14.25" hidden="false" customHeight="true" outlineLevel="0" collapsed="false">
      <c r="E27" s="73" t="s">
        <v>357</v>
      </c>
      <c r="F27" s="82" t="n">
        <f aca="false">F26/F14</f>
        <v>0.907810499359795</v>
      </c>
      <c r="G27" s="82" t="n">
        <f aca="false">G26/G24</f>
        <v>0.91625</v>
      </c>
      <c r="H27" s="82" t="n">
        <f aca="false">H26/H24</f>
        <v>0.924675324675325</v>
      </c>
      <c r="I27" s="73"/>
      <c r="J27" s="73"/>
    </row>
    <row r="29" customFormat="false" ht="14.25" hidden="false" customHeight="true" outlineLevel="0" collapsed="false">
      <c r="E29" s="4" t="s">
        <v>358</v>
      </c>
      <c r="F29" s="4" t="n">
        <f aca="false">-52</f>
        <v>-52</v>
      </c>
      <c r="G29" s="4" t="n">
        <v>-49</v>
      </c>
      <c r="H29" s="4" t="n">
        <v>-51</v>
      </c>
      <c r="I29" s="4"/>
      <c r="J29" s="4"/>
    </row>
    <row r="30" customFormat="false" ht="14.25" hidden="false" customHeight="true" outlineLevel="0" collapsed="false">
      <c r="E30" s="1" t="s">
        <v>359</v>
      </c>
      <c r="F30" s="1" t="n">
        <f aca="false">F26+F29</f>
        <v>657</v>
      </c>
      <c r="G30" s="1" t="n">
        <f aca="false">G26+G29</f>
        <v>684</v>
      </c>
      <c r="H30" s="1" t="n">
        <f aca="false">H26+H29</f>
        <v>661</v>
      </c>
    </row>
    <row r="31" customFormat="false" ht="14.25" hidden="false" customHeight="true" outlineLevel="0" collapsed="false">
      <c r="E31" s="79" t="s">
        <v>360</v>
      </c>
      <c r="F31" s="79" t="n">
        <f aca="false">F30/F24</f>
        <v>0.841229193341869</v>
      </c>
      <c r="G31" s="79" t="n">
        <f aca="false">G30/G24</f>
        <v>0.855</v>
      </c>
      <c r="H31" s="79" t="n">
        <f aca="false">H30/H24</f>
        <v>0.858441558441558</v>
      </c>
      <c r="I31" s="79"/>
      <c r="J31" s="79"/>
    </row>
    <row r="32" customFormat="false" ht="14.25" hidden="false" customHeight="true" outlineLevel="0" collapsed="false">
      <c r="E32" s="20" t="s">
        <v>361</v>
      </c>
      <c r="F32" s="20"/>
      <c r="G32" s="20"/>
      <c r="H32" s="20"/>
      <c r="I32" s="20"/>
      <c r="J32" s="20"/>
    </row>
    <row r="33" customFormat="false" ht="14.25" hidden="false" customHeight="true" outlineLevel="0" collapsed="false">
      <c r="E33" s="4" t="s">
        <v>362</v>
      </c>
      <c r="F33" s="4" t="n">
        <v>317</v>
      </c>
      <c r="G33" s="4" t="n">
        <v>302</v>
      </c>
      <c r="H33" s="4" t="n">
        <v>311</v>
      </c>
      <c r="I33" s="4"/>
      <c r="J33" s="4"/>
    </row>
    <row r="34" customFormat="false" ht="14.25" hidden="false" customHeight="true" outlineLevel="0" collapsed="false">
      <c r="E34" s="1" t="s">
        <v>363</v>
      </c>
      <c r="F34" s="1" t="n">
        <v>11</v>
      </c>
      <c r="G34" s="1" t="n">
        <v>12</v>
      </c>
      <c r="H34" s="1" t="n">
        <f aca="false">-(6+11-2-13-17-7)</f>
        <v>22</v>
      </c>
    </row>
    <row r="35" customFormat="false" ht="14.25" hidden="false" customHeight="true" outlineLevel="0" collapsed="false">
      <c r="E35" s="4" t="s">
        <v>364</v>
      </c>
      <c r="F35" s="4" t="n">
        <f aca="false">SUM(F33:F34)</f>
        <v>328</v>
      </c>
      <c r="G35" s="4" t="n">
        <f aca="false">SUM(G33:G34)</f>
        <v>314</v>
      </c>
      <c r="H35" s="4" t="n">
        <f aca="false">SUM(H33:H34)</f>
        <v>333</v>
      </c>
      <c r="I35" s="4"/>
      <c r="J35" s="4"/>
    </row>
    <row r="36" customFormat="false" ht="14.25" hidden="false" customHeight="true" outlineLevel="0" collapsed="false">
      <c r="E36" s="1" t="s">
        <v>168</v>
      </c>
      <c r="F36" s="1" t="n">
        <f aca="false">F30/F35</f>
        <v>2.0030487804878</v>
      </c>
      <c r="G36" s="1" t="n">
        <f aca="false">G30/G35</f>
        <v>2.17834394904459</v>
      </c>
      <c r="H36" s="1" t="n">
        <f aca="false">H30/H35</f>
        <v>1.98498498498499</v>
      </c>
    </row>
    <row r="37" customFormat="false" ht="14.25" hidden="false" customHeight="true" outlineLevel="0" collapsed="false">
      <c r="E37" s="10" t="s">
        <v>169</v>
      </c>
      <c r="F37" s="10" t="n">
        <f aca="false">F30/F35</f>
        <v>2.0030487804878</v>
      </c>
      <c r="G37" s="10" t="n">
        <f aca="false">G30/G35</f>
        <v>2.17834394904459</v>
      </c>
      <c r="H37" s="10" t="n">
        <f aca="false">H30/H35</f>
        <v>1.98498498498499</v>
      </c>
      <c r="I37" s="10"/>
      <c r="J37" s="10"/>
      <c r="L37" s="1" t="s">
        <v>365</v>
      </c>
    </row>
    <row r="40" customFormat="false" ht="23.25" hidden="false" customHeight="true" outlineLevel="0" collapsed="false">
      <c r="E40" s="15" t="s">
        <v>366</v>
      </c>
      <c r="F40" s="15"/>
      <c r="G40" s="15"/>
      <c r="H40" s="15"/>
      <c r="I40" s="15"/>
      <c r="J40" s="15"/>
    </row>
    <row r="41" customFormat="false" ht="14.25" hidden="false" customHeight="true" outlineLevel="0" collapsed="false">
      <c r="E41" s="20" t="s">
        <v>367</v>
      </c>
      <c r="F41" s="20" t="s">
        <v>368</v>
      </c>
      <c r="G41" s="20" t="s">
        <v>369</v>
      </c>
      <c r="H41" s="20" t="s">
        <v>223</v>
      </c>
      <c r="I41" s="20"/>
      <c r="J41" s="20"/>
    </row>
    <row r="42" customFormat="false" ht="14.25" hidden="false" customHeight="true" outlineLevel="0" collapsed="false">
      <c r="E42" s="4" t="s">
        <v>349</v>
      </c>
      <c r="F42" s="4" t="n">
        <f aca="false">F17*4</f>
        <v>24</v>
      </c>
      <c r="G42" s="54" t="n">
        <f aca="false">F42*1000000/'Rent Roll'!L8</f>
        <v>21.4953798367963</v>
      </c>
      <c r="H42" s="4"/>
      <c r="I42" s="4"/>
      <c r="J42" s="4"/>
    </row>
    <row r="43" customFormat="false" ht="14.25" hidden="false" customHeight="true" outlineLevel="0" collapsed="false">
      <c r="E43" s="1" t="s">
        <v>370</v>
      </c>
      <c r="F43" s="1" t="n">
        <f aca="false">F18*4*(1-Assumptions!D51)</f>
        <v>47.6</v>
      </c>
      <c r="G43" s="47" t="n">
        <f aca="false">F43*1000000/'Rent Roll'!L8</f>
        <v>42.6325033429794</v>
      </c>
    </row>
    <row r="44" customFormat="false" ht="14.25" hidden="false" customHeight="true" outlineLevel="0" collapsed="false">
      <c r="E44" s="4" t="s">
        <v>371</v>
      </c>
      <c r="F44" s="4" t="n">
        <f aca="false">F18*4*Assumptions!D51</f>
        <v>20.4</v>
      </c>
      <c r="G44" s="54" t="n">
        <f aca="false">F44*1000000/'Rent Roll'!L8</f>
        <v>18.2710728612769</v>
      </c>
      <c r="H44" s="4"/>
      <c r="I44" s="4"/>
      <c r="J44" s="4"/>
    </row>
    <row r="45" customFormat="false" ht="14.25" hidden="false" customHeight="true" outlineLevel="0" collapsed="false">
      <c r="E45" s="1" t="s">
        <v>372</v>
      </c>
      <c r="F45" s="1" t="n">
        <f aca="false">F19*4</f>
        <v>100</v>
      </c>
      <c r="G45" s="47" t="n">
        <f aca="false">F45*1000000/'Rent Roll'!L8</f>
        <v>89.564082653318</v>
      </c>
    </row>
    <row r="46" customFormat="false" ht="14.25" hidden="false" customHeight="true" outlineLevel="0" collapsed="false">
      <c r="E46" s="4" t="s">
        <v>373</v>
      </c>
      <c r="F46" s="4" t="n">
        <f aca="false">F20*4*Assumptions!D52</f>
        <v>57.6</v>
      </c>
      <c r="G46" s="54" t="n">
        <f aca="false">F46*1000000/'Rent Roll'!L8</f>
        <v>51.5889116083112</v>
      </c>
      <c r="H46" s="4"/>
      <c r="I46" s="4"/>
      <c r="J46" s="4"/>
    </row>
    <row r="47" customFormat="false" ht="14.25" hidden="false" customHeight="true" outlineLevel="0" collapsed="false">
      <c r="E47" s="1" t="s">
        <v>374</v>
      </c>
      <c r="F47" s="1" t="n">
        <f aca="false">F20*4*(1-Assumptions!D52)</f>
        <v>38.4</v>
      </c>
      <c r="G47" s="47" t="n">
        <f aca="false">F47*1000000/'Rent Roll'!L8</f>
        <v>34.3926077388741</v>
      </c>
    </row>
    <row r="48" customFormat="false" ht="14.25" hidden="false" customHeight="true" outlineLevel="0" collapsed="false">
      <c r="E48" s="71" t="s">
        <v>375</v>
      </c>
      <c r="F48" s="71" t="n">
        <f aca="false">SUM(F42:F47)</f>
        <v>288</v>
      </c>
      <c r="G48" s="83" t="n">
        <f aca="false">SUM(G42:G47)</f>
        <v>257.944558041556</v>
      </c>
      <c r="H48" s="84"/>
      <c r="I48" s="84"/>
      <c r="J48" s="8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20" colorId="64" zoomScale="64" zoomScaleNormal="64" zoomScalePageLayoutView="100" workbookViewId="0">
      <selection pane="topLeft" activeCell="J16" activeCellId="0" sqref="J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0.82"/>
    <col collapsed="false" customWidth="true" hidden="false" outlineLevel="0" max="4" min="3" style="1" width="10.63"/>
  </cols>
  <sheetData>
    <row r="1" customFormat="false" ht="24.75" hidden="false" customHeight="true" outlineLevel="0" collapsed="false">
      <c r="A1" s="85" t="s">
        <v>376</v>
      </c>
      <c r="B1" s="85"/>
      <c r="C1" s="85"/>
      <c r="D1" s="85"/>
    </row>
    <row r="2" customFormat="false" ht="14.25" hidden="false" customHeight="true" outlineLevel="0" collapsed="false">
      <c r="A2" s="86"/>
    </row>
    <row r="4" customFormat="false" ht="14.25" hidden="false" customHeight="true" outlineLevel="0" collapsed="false">
      <c r="A4" s="75" t="s">
        <v>273</v>
      </c>
      <c r="B4" s="75" t="s">
        <v>307</v>
      </c>
      <c r="C4" s="75" t="s">
        <v>377</v>
      </c>
      <c r="D4" s="75" t="s">
        <v>378</v>
      </c>
    </row>
    <row r="5" customFormat="false" ht="14.25" hidden="false" customHeight="true" outlineLevel="0" collapsed="false">
      <c r="A5" s="87" t="s">
        <v>379</v>
      </c>
      <c r="B5" s="22"/>
      <c r="C5" s="22"/>
      <c r="D5" s="22"/>
    </row>
    <row r="6" customFormat="false" ht="14.25" hidden="false" customHeight="true" outlineLevel="0" collapsed="false">
      <c r="A6" s="1" t="s">
        <v>293</v>
      </c>
      <c r="B6" s="1" t="n">
        <f aca="false">Valuation!H12</f>
        <v>61991</v>
      </c>
      <c r="C6" s="1" t="s">
        <v>119</v>
      </c>
    </row>
    <row r="7" customFormat="false" ht="14.25" hidden="false" customHeight="true" outlineLevel="0" collapsed="false">
      <c r="A7" s="4" t="s">
        <v>380</v>
      </c>
      <c r="B7" s="4" t="n">
        <f aca="false">Valuation!H12/1116519</f>
        <v>0.0555216704776184</v>
      </c>
      <c r="C7" s="4" t="s">
        <v>369</v>
      </c>
      <c r="D7" s="4"/>
    </row>
    <row r="8" customFormat="false" ht="14.25" hidden="false" customHeight="true" outlineLevel="0" collapsed="false">
      <c r="A8" s="1" t="s">
        <v>381</v>
      </c>
      <c r="B8" s="1" t="n">
        <f aca="false">Valuation!H15</f>
        <v>30887</v>
      </c>
      <c r="C8" s="1" t="s">
        <v>119</v>
      </c>
    </row>
    <row r="9" customFormat="false" ht="14.25" hidden="false" customHeight="true" outlineLevel="0" collapsed="false">
      <c r="A9" s="4" t="s">
        <v>2</v>
      </c>
      <c r="B9" s="4" t="n">
        <f aca="false">Valuation!H25</f>
        <v>169.280615046678</v>
      </c>
      <c r="C9" s="4" t="s">
        <v>382</v>
      </c>
      <c r="D9" s="4"/>
    </row>
    <row r="10" customFormat="false" ht="14.25" hidden="false" customHeight="true" outlineLevel="0" collapsed="false"/>
    <row r="11" customFormat="false" ht="14.25" hidden="false" customHeight="true" outlineLevel="0" collapsed="false">
      <c r="A11" s="87" t="s">
        <v>383</v>
      </c>
      <c r="B11" s="22"/>
      <c r="C11" s="22"/>
      <c r="D11" s="22"/>
    </row>
    <row r="12" customFormat="false" ht="14.25" hidden="false" customHeight="true" outlineLevel="0" collapsed="false">
      <c r="A12" s="1" t="s">
        <v>384</v>
      </c>
      <c r="B12" s="1" t="n">
        <v>3042</v>
      </c>
      <c r="C12" s="1" t="s">
        <v>368</v>
      </c>
    </row>
    <row r="13" customFormat="false" ht="14.25" hidden="false" customHeight="true" outlineLevel="0" collapsed="false">
      <c r="A13" s="4" t="s">
        <v>385</v>
      </c>
      <c r="B13" s="4" t="n">
        <v>3413</v>
      </c>
      <c r="C13" s="4" t="s">
        <v>368</v>
      </c>
      <c r="D13" s="4"/>
    </row>
    <row r="14" customFormat="false" ht="14.25" hidden="false" customHeight="true" outlineLevel="0" collapsed="false">
      <c r="A14" s="1" t="s">
        <v>386</v>
      </c>
      <c r="B14" s="88" t="n">
        <f aca="false">(B13-B12)/B12</f>
        <v>0.121959237343853</v>
      </c>
      <c r="C14" s="1" t="s">
        <v>387</v>
      </c>
    </row>
    <row r="15" customFormat="false" ht="14.25" hidden="false" customHeight="true" outlineLevel="0" collapsed="false">
      <c r="A15" s="4" t="s">
        <v>388</v>
      </c>
      <c r="B15" s="4" t="n">
        <v>3.391</v>
      </c>
      <c r="C15" s="4" t="s">
        <v>369</v>
      </c>
      <c r="D15" s="4"/>
    </row>
    <row r="16" customFormat="false" ht="14.25" hidden="false" customHeight="true" outlineLevel="0" collapsed="false">
      <c r="A16" s="1" t="s">
        <v>389</v>
      </c>
      <c r="B16" s="1" t="n">
        <v>2.982</v>
      </c>
      <c r="C16" s="1" t="s">
        <v>369</v>
      </c>
    </row>
    <row r="17" customFormat="false" ht="14.25" hidden="false" customHeight="true" outlineLevel="0" collapsed="false">
      <c r="A17" s="4" t="s">
        <v>390</v>
      </c>
      <c r="B17" s="41" t="n">
        <f aca="false">(B15-B16)/B16</f>
        <v>0.137156270959088</v>
      </c>
      <c r="C17" s="4" t="s">
        <v>387</v>
      </c>
      <c r="D17" s="4"/>
    </row>
    <row r="18" customFormat="false" ht="14.25" hidden="false" customHeight="true" outlineLevel="0" collapsed="false"/>
    <row r="19" customFormat="false" ht="14.25" hidden="false" customHeight="true" outlineLevel="0" collapsed="false">
      <c r="A19" s="89" t="s">
        <v>391</v>
      </c>
      <c r="B19" s="4"/>
      <c r="C19" s="4"/>
      <c r="D19" s="4"/>
    </row>
    <row r="20" customFormat="false" ht="14.25" hidden="false" customHeight="true" outlineLevel="0" collapsed="false">
      <c r="A20" s="87" t="s">
        <v>220</v>
      </c>
      <c r="B20" s="87" t="s">
        <v>320</v>
      </c>
      <c r="C20" s="87" t="s">
        <v>181</v>
      </c>
      <c r="D20" s="87" t="s">
        <v>182</v>
      </c>
    </row>
    <row r="21" customFormat="false" ht="14.25" hidden="false" customHeight="true" outlineLevel="0" collapsed="false">
      <c r="A21" s="4" t="s">
        <v>392</v>
      </c>
      <c r="B21" s="39" t="n">
        <f aca="false">Debt!G27+Debt!G29</f>
        <v>31136</v>
      </c>
      <c r="C21" s="39" t="n">
        <f aca="false">Debt!H27+Debt!H29</f>
        <v>31136</v>
      </c>
      <c r="D21" s="39" t="n">
        <f aca="false">Debt!I27+Debt!I29</f>
        <v>24552</v>
      </c>
    </row>
    <row r="22" customFormat="false" ht="14.25" hidden="false" customHeight="true" outlineLevel="0" collapsed="false">
      <c r="A22" s="1" t="s">
        <v>393</v>
      </c>
      <c r="B22" s="76" t="n">
        <f aca="false">Debt!G27</f>
        <v>17300</v>
      </c>
      <c r="C22" s="76" t="n">
        <f aca="false">Debt!H27</f>
        <v>14100</v>
      </c>
      <c r="D22" s="76" t="n">
        <f aca="false">Debt!I27</f>
        <v>14100</v>
      </c>
    </row>
    <row r="23" customFormat="false" ht="14.25" hidden="false" customHeight="true" outlineLevel="0" collapsed="false">
      <c r="A23" s="4" t="s">
        <v>394</v>
      </c>
      <c r="B23" s="39" t="n">
        <f aca="false">Debt!G29</f>
        <v>13836</v>
      </c>
      <c r="C23" s="39" t="n">
        <f aca="false">Debt!H29</f>
        <v>17036</v>
      </c>
      <c r="D23" s="39" t="n">
        <f aca="false">Debt!I29</f>
        <v>10452</v>
      </c>
    </row>
    <row r="24" customFormat="false" ht="14.25" hidden="false" customHeight="true" outlineLevel="0" collapsed="false">
      <c r="A24" s="1" t="s">
        <v>395</v>
      </c>
      <c r="B24" s="76" t="n">
        <f aca="false">B21/Valuation!H12</f>
        <v>0.502266458034231</v>
      </c>
      <c r="C24" s="76" t="n">
        <f aca="false">C21/Valuation!H12</f>
        <v>0.502266458034231</v>
      </c>
      <c r="D24" s="76" t="n">
        <f aca="false">D21/Valuation!H12</f>
        <v>0.396057492216612</v>
      </c>
    </row>
    <row r="25" customFormat="false" ht="14.25" hidden="false" customHeight="true" outlineLevel="0" collapsed="false">
      <c r="A25" s="4"/>
      <c r="B25" s="39"/>
      <c r="C25" s="39"/>
      <c r="D25" s="39"/>
    </row>
    <row r="26" customFormat="false" ht="14.25" hidden="false" customHeight="true" outlineLevel="0" collapsed="false">
      <c r="A26" s="87" t="s">
        <v>396</v>
      </c>
      <c r="B26" s="90"/>
      <c r="C26" s="90"/>
      <c r="D26" s="90"/>
    </row>
    <row r="27" customFormat="false" ht="14.25" hidden="false" customHeight="true" outlineLevel="0" collapsed="false">
      <c r="A27" s="91" t="s">
        <v>220</v>
      </c>
      <c r="B27" s="91" t="s">
        <v>320</v>
      </c>
      <c r="C27" s="91" t="s">
        <v>181</v>
      </c>
      <c r="D27" s="91" t="s">
        <v>182</v>
      </c>
    </row>
    <row r="28" customFormat="false" ht="14.25" hidden="false" customHeight="true" outlineLevel="0" collapsed="false">
      <c r="A28" s="1" t="s">
        <v>129</v>
      </c>
      <c r="B28" s="76" t="n">
        <f aca="false">'Rent Roll'!H30</f>
        <v>2546</v>
      </c>
      <c r="C28" s="76" t="n">
        <f aca="false">Table9[[#This Row],[Column2]]</f>
        <v>2546</v>
      </c>
      <c r="D28" s="76" t="n">
        <f aca="false">Table9[[#This Row],[Column3]]</f>
        <v>2546</v>
      </c>
    </row>
    <row r="29" customFormat="false" ht="14.25" hidden="false" customHeight="true" outlineLevel="0" collapsed="false">
      <c r="A29" s="4" t="s">
        <v>397</v>
      </c>
      <c r="B29" s="39"/>
      <c r="C29" s="39" t="n">
        <f aca="false">Debt!H32</f>
        <v>391.90465648855</v>
      </c>
      <c r="D29" s="39" t="n">
        <f aca="false">Debt!I32</f>
        <v>391.90465648855</v>
      </c>
    </row>
    <row r="30" customFormat="false" ht="14.25" hidden="false" customHeight="true" outlineLevel="0" collapsed="false">
      <c r="A30" s="1" t="s">
        <v>398</v>
      </c>
      <c r="B30" s="76" t="n">
        <f aca="false">Debt!G31</f>
        <v>751.2948</v>
      </c>
      <c r="C30" s="76" t="n">
        <f aca="false">Debt!H31</f>
        <v>942.0908</v>
      </c>
      <c r="D30" s="76" t="n">
        <f aca="false">Debt!I31</f>
        <v>515.2836</v>
      </c>
    </row>
    <row r="31" customFormat="false" ht="14.25" hidden="false" customHeight="true" outlineLevel="0" collapsed="false">
      <c r="A31" s="4" t="s">
        <v>399</v>
      </c>
      <c r="B31" s="77" t="n">
        <f aca="false">Debt!G33</f>
        <v>1199.55584294479</v>
      </c>
      <c r="C31" s="77" t="n">
        <f aca="false">Debt!H33</f>
        <v>1333.99545648855</v>
      </c>
      <c r="D31" s="77" t="n">
        <f aca="false">Debt!I33</f>
        <v>907.18825648855</v>
      </c>
    </row>
    <row r="32" customFormat="false" ht="14.25" hidden="false" customHeight="true" outlineLevel="0" collapsed="false">
      <c r="A32" s="1" t="s">
        <v>400</v>
      </c>
      <c r="B32" s="92" t="n">
        <f aca="false">B28/B31</f>
        <v>2.12245225178499</v>
      </c>
      <c r="C32" s="92" t="n">
        <f aca="false">C28/C31</f>
        <v>1.90855222753291</v>
      </c>
      <c r="D32" s="92" t="n">
        <f aca="false">D28/D31</f>
        <v>2.80647371897735</v>
      </c>
    </row>
    <row r="34" customFormat="false" ht="14.25" hidden="false" customHeight="true" outlineLevel="0" collapsed="false">
      <c r="A34" s="87" t="s">
        <v>401</v>
      </c>
      <c r="B34" s="93"/>
      <c r="C34" s="93"/>
      <c r="D34" s="93"/>
    </row>
    <row r="35" customFormat="false" ht="14.25" hidden="false" customHeight="true" outlineLevel="0" collapsed="false">
      <c r="A35" s="4" t="s">
        <v>43</v>
      </c>
      <c r="B35" s="4" t="n">
        <f aca="false">Transaction!C6</f>
        <v>137.54</v>
      </c>
      <c r="C35" s="4"/>
      <c r="D35" s="4"/>
    </row>
    <row r="36" customFormat="false" ht="14.25" hidden="false" customHeight="true" outlineLevel="0" collapsed="false">
      <c r="A36" s="1" t="s">
        <v>65</v>
      </c>
      <c r="B36" s="18" t="n">
        <f aca="false">Transaction!C13</f>
        <v>55877.248</v>
      </c>
    </row>
    <row r="37" customFormat="false" ht="14.25" hidden="false" customHeight="true" outlineLevel="0" collapsed="false">
      <c r="A37" s="4" t="s">
        <v>402</v>
      </c>
      <c r="B37" s="39" t="n">
        <f aca="false">Transaction!L27</f>
        <v>2754</v>
      </c>
      <c r="C37" s="4"/>
      <c r="D37" s="4"/>
    </row>
    <row r="38" customFormat="false" ht="14.25" hidden="false" customHeight="true" outlineLevel="0" collapsed="false">
      <c r="A38" s="1" t="s">
        <v>403</v>
      </c>
      <c r="B38" s="8" t="n">
        <f aca="false">Transaction!L29</f>
        <v>0.0492866076725898</v>
      </c>
    </row>
    <row r="39" customFormat="false" ht="14.25" hidden="false" customHeight="true" outlineLevel="0" collapsed="false">
      <c r="A39" s="4" t="s">
        <v>117</v>
      </c>
      <c r="B39" s="17" t="n">
        <f aca="false">Transaction!L20</f>
        <v>24198.8950276243</v>
      </c>
      <c r="C39" s="4"/>
      <c r="D39" s="4"/>
    </row>
    <row r="40" customFormat="false" ht="14.25" hidden="false" customHeight="true" outlineLevel="0" collapsed="false">
      <c r="A40" s="1" t="s">
        <v>90</v>
      </c>
      <c r="B40" s="18" t="n">
        <f aca="false">Transaction!L21</f>
        <v>32795.8979323757</v>
      </c>
    </row>
    <row r="41" customFormat="false" ht="14.25" hidden="false" customHeight="true" outlineLevel="0" collapsed="false">
      <c r="A41" s="4" t="s">
        <v>404</v>
      </c>
      <c r="B41" s="34" t="n">
        <f aca="false">Returns!C38</f>
        <v>0.0461175995809981</v>
      </c>
      <c r="C41" s="4"/>
      <c r="D41" s="4"/>
    </row>
    <row r="42" customFormat="false" ht="14.25" hidden="false" customHeight="true" outlineLevel="0" collapsed="false">
      <c r="A42" s="5" t="s">
        <v>405</v>
      </c>
      <c r="B42" s="5" t="n">
        <f aca="false">Returns!C39</f>
        <v>1.23958527443843</v>
      </c>
      <c r="C42" s="5"/>
      <c r="D42" s="5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42" zoomScaleNormal="42" zoomScalePageLayoutView="100" workbookViewId="0">
      <selection pane="topLeft" activeCell="AJ63" activeCellId="0" sqref="AJ6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8.73"/>
    <col collapsed="false" customWidth="true" hidden="false" outlineLevel="0" max="2" min="2" style="1" width="13.81"/>
    <col collapsed="false" customWidth="true" hidden="false" outlineLevel="0" max="4" min="3" style="1" width="15.81"/>
    <col collapsed="false" customWidth="true" hidden="false" outlineLevel="0" max="6" min="6" style="1" width="18.73"/>
    <col collapsed="false" customWidth="true" hidden="false" outlineLevel="0" max="7" min="7" style="1" width="13.81"/>
    <col collapsed="false" customWidth="true" hidden="false" outlineLevel="0" max="8" min="8" style="1" width="15.81"/>
  </cols>
  <sheetData>
    <row r="1" customFormat="false" ht="14.25" hidden="false" customHeight="true" outlineLevel="0" collapsed="false">
      <c r="A1" s="1" t="s">
        <v>406</v>
      </c>
      <c r="F1" s="1" t="s">
        <v>407</v>
      </c>
    </row>
    <row r="2" customFormat="false" ht="14.25" hidden="false" customHeight="true" outlineLevel="0" collapsed="false">
      <c r="A2" s="20" t="s">
        <v>408</v>
      </c>
      <c r="B2" s="20" t="s">
        <v>409</v>
      </c>
      <c r="C2" s="20" t="s">
        <v>410</v>
      </c>
      <c r="D2" s="94"/>
      <c r="E2" s="94"/>
      <c r="F2" s="20" t="s">
        <v>408</v>
      </c>
      <c r="G2" s="20" t="s">
        <v>411</v>
      </c>
      <c r="H2" s="20" t="s">
        <v>410</v>
      </c>
    </row>
    <row r="3" customFormat="false" ht="14.25" hidden="false" customHeight="true" outlineLevel="0" collapsed="false">
      <c r="A3" s="25" t="n">
        <v>0.91</v>
      </c>
      <c r="B3" s="25" t="n">
        <v>0.08</v>
      </c>
      <c r="C3" s="25" t="n">
        <v>0.01</v>
      </c>
      <c r="F3" s="25" t="n">
        <v>0.85</v>
      </c>
      <c r="G3" s="25" t="n">
        <v>0.08</v>
      </c>
      <c r="H3" s="25" t="n">
        <v>0.07</v>
      </c>
    </row>
    <row r="22" customFormat="false" ht="14.25" hidden="false" customHeight="true" outlineLevel="0" collapsed="false">
      <c r="A22" s="1" t="s">
        <v>412</v>
      </c>
    </row>
    <row r="23" customFormat="false" ht="14.25" hidden="false" customHeight="true" outlineLevel="0" collapsed="false">
      <c r="A23" s="1" t="s">
        <v>407</v>
      </c>
      <c r="G23" s="1" t="s">
        <v>406</v>
      </c>
    </row>
    <row r="24" customFormat="false" ht="14.25" hidden="false" customHeight="true" outlineLevel="0" collapsed="false">
      <c r="A24" s="22" t="s">
        <v>221</v>
      </c>
      <c r="B24" s="22" t="s">
        <v>230</v>
      </c>
      <c r="C24" s="22" t="s">
        <v>231</v>
      </c>
      <c r="D24" s="22" t="s">
        <v>232</v>
      </c>
      <c r="G24" s="22" t="s">
        <v>221</v>
      </c>
      <c r="H24" s="22" t="s">
        <v>230</v>
      </c>
      <c r="I24" s="22" t="s">
        <v>231</v>
      </c>
      <c r="J24" s="22" t="s">
        <v>232</v>
      </c>
    </row>
    <row r="25" customFormat="false" ht="14.25" hidden="false" customHeight="true" outlineLevel="0" collapsed="false">
      <c r="A25" s="25" t="n">
        <v>0.67</v>
      </c>
      <c r="B25" s="25" t="n">
        <v>0.15</v>
      </c>
      <c r="C25" s="25" t="n">
        <v>0.12</v>
      </c>
      <c r="D25" s="25" t="n">
        <v>0.05</v>
      </c>
      <c r="G25" s="25" t="n">
        <v>0.77</v>
      </c>
      <c r="H25" s="25" t="n">
        <v>0.12</v>
      </c>
      <c r="I25" s="25" t="n">
        <v>0.08</v>
      </c>
      <c r="J25" s="25" t="n">
        <v>0.04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"/>
  <sheetViews>
    <sheetView showFormulas="false" showGridLines="false" showRowColHeaders="true" showZeros="true" rightToLeft="false" tabSelected="true" showOutlineSymbols="true" defaultGridColor="true" view="normal" topLeftCell="J1" colorId="64" zoomScale="62" zoomScaleNormal="62" zoomScalePageLayoutView="100" workbookViewId="0">
      <selection pane="topLeft" activeCell="M1" activeCellId="0" sqref="M1"/>
    </sheetView>
  </sheetViews>
  <sheetFormatPr defaultColWidth="8.54296875" defaultRowHeight="14.25" zeroHeight="false" outlineLevelRow="0" outlineLevelCol="0"/>
  <sheetData>
    <row r="1" customFormat="false" ht="14.25" hidden="false" customHeight="true" outlineLevel="0" collapsed="false">
      <c r="A1" s="1" t="s">
        <v>413</v>
      </c>
      <c r="N1" s="1" t="s">
        <v>414</v>
      </c>
      <c r="AA1" s="1" t="s">
        <v>415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H1"/>
  <sheetViews>
    <sheetView showFormulas="false" showGridLines="false" showRowColHeaders="true" showZeros="true" rightToLeft="false" tabSelected="false" showOutlineSymbols="true" defaultGridColor="true" view="normal" topLeftCell="I1" colorId="64" zoomScale="73" zoomScaleNormal="73" zoomScalePageLayoutView="100" workbookViewId="0">
      <selection pane="topLeft" activeCell="AA51" activeCellId="0" sqref="AA51"/>
    </sheetView>
  </sheetViews>
  <sheetFormatPr defaultColWidth="8.54296875" defaultRowHeight="14.25" zeroHeight="false" outlineLevelRow="0" outlineLevelCol="0"/>
  <sheetData>
    <row r="1" customFormat="false" ht="14.25" hidden="false" customHeight="true" outlineLevel="0" collapsed="false">
      <c r="B1" s="1" t="s">
        <v>414</v>
      </c>
      <c r="Q1" s="1" t="s">
        <v>416</v>
      </c>
      <c r="AH1" s="1" t="s">
        <v>415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2026-08-16T18:25:59Z</dcterms:created>
  <dc:creator>Robert Fagervik</dc:creator>
  <dc:description/>
  <dc:language>en-US</dc:language>
  <cp:lastModifiedBy/>
  <dcterms:modified xsi:type="dcterms:W3CDTF">2026-08-31T21:23:36Z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0x01010025075C9B0DB58E44A8B24F945E29D454</vt:lpwstr>
  </property>
</Properties>
</file>